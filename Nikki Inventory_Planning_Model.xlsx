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44d110be402d225b/"/>
    </mc:Choice>
  </mc:AlternateContent>
  <xr:revisionPtr revIDLastSave="465" documentId="8_{FEB0CB64-AF91-4FA8-A186-8FC6A607D049}" xr6:coauthVersionLast="47" xr6:coauthVersionMax="47" xr10:uidLastSave="{2EA55683-6662-4FEB-86B8-B2FE53533DB5}"/>
  <bookViews>
    <workbookView xWindow="-90" yWindow="0" windowWidth="19380" windowHeight="20970" xr2:uid="{617C77E3-42EA-4554-A097-C651DA5E7409}"/>
  </bookViews>
  <sheets>
    <sheet name="EOQ Model" sheetId="1" r:id="rId1"/>
    <sheet name="Safety Stock" sheetId="2" r:id="rId2"/>
    <sheet name="Reorder Point (ROP)"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3" i="2" l="1"/>
  <c r="H53" i="2"/>
  <c r="F53" i="2"/>
  <c r="B53" i="2"/>
  <c r="D49" i="2"/>
  <c r="F49" i="2"/>
  <c r="H49" i="2"/>
  <c r="J49" i="2"/>
  <c r="D40" i="2"/>
  <c r="F40" i="2"/>
  <c r="H40" i="2"/>
  <c r="J40" i="2"/>
  <c r="D39" i="2"/>
  <c r="F39" i="2"/>
  <c r="H39" i="2"/>
  <c r="J39" i="2"/>
  <c r="D38" i="2"/>
  <c r="F38" i="2"/>
  <c r="H38" i="2"/>
  <c r="J38" i="2"/>
  <c r="D37" i="2"/>
  <c r="C3" i="3" s="1"/>
  <c r="F37" i="2"/>
  <c r="D3" i="3" s="1"/>
  <c r="H37" i="2"/>
  <c r="E3" i="3" s="1"/>
  <c r="J37" i="2"/>
  <c r="F3" i="3" s="1"/>
  <c r="B49" i="2"/>
  <c r="B40" i="2"/>
  <c r="B39" i="2"/>
  <c r="B38" i="2"/>
  <c r="B37" i="2"/>
  <c r="B3" i="3" s="1"/>
  <c r="C8" i="1"/>
  <c r="D8" i="1"/>
  <c r="E8" i="1"/>
  <c r="F8" i="1"/>
  <c r="B8" i="1"/>
  <c r="D9" i="1" l="1"/>
  <c r="J46" i="2"/>
  <c r="J52" i="2" s="1"/>
  <c r="F6" i="3" s="1"/>
  <c r="F4" i="3"/>
  <c r="F5" i="3" s="1"/>
  <c r="H46" i="2"/>
  <c r="E4" i="3"/>
  <c r="E5" i="3" s="1"/>
  <c r="F46" i="2"/>
  <c r="F52" i="2" s="1"/>
  <c r="D6" i="3" s="1"/>
  <c r="D4" i="3"/>
  <c r="D5" i="3" s="1"/>
  <c r="D46" i="2"/>
  <c r="D52" i="2" s="1"/>
  <c r="C4" i="3"/>
  <c r="C5" i="3" s="1"/>
  <c r="B46" i="2"/>
  <c r="B52" i="2" s="1"/>
  <c r="B6" i="3" s="1"/>
  <c r="B4" i="3"/>
  <c r="B5" i="3" s="1"/>
  <c r="H52" i="2"/>
  <c r="E6" i="3" s="1"/>
  <c r="C9" i="1"/>
  <c r="E9" i="1"/>
  <c r="F9" i="1"/>
  <c r="B9" i="1"/>
  <c r="C6" i="3" l="1"/>
  <c r="D53" i="2"/>
  <c r="D10" i="1"/>
  <c r="D11" i="1"/>
  <c r="F7" i="3"/>
  <c r="E7" i="3"/>
  <c r="D7" i="3"/>
  <c r="C7" i="3"/>
  <c r="B7" i="3"/>
  <c r="C10" i="1"/>
  <c r="C11" i="1"/>
  <c r="C12" i="1" s="1"/>
  <c r="E10" i="1"/>
  <c r="E11" i="1"/>
  <c r="E12" i="1" s="1"/>
  <c r="F10" i="1"/>
  <c r="F11" i="1"/>
  <c r="F12" i="1" s="1"/>
  <c r="B10" i="1"/>
  <c r="B11" i="1"/>
  <c r="B12" i="1" s="1"/>
  <c r="D12" i="1" l="1"/>
</calcChain>
</file>

<file path=xl/sharedStrings.xml><?xml version="1.0" encoding="utf-8"?>
<sst xmlns="http://schemas.openxmlformats.org/spreadsheetml/2006/main" count="54" uniqueCount="35">
  <si>
    <t>Section 1: Economic Order Quantity (EOQ)</t>
  </si>
  <si>
    <t>Product A</t>
  </si>
  <si>
    <t>Product B</t>
  </si>
  <si>
    <t>Product C</t>
  </si>
  <si>
    <t>Product D</t>
  </si>
  <si>
    <t>Product E</t>
  </si>
  <si>
    <t>Annual Demand (D)</t>
  </si>
  <si>
    <t>Unit Value (or Unit Cost), (V)</t>
  </si>
  <si>
    <t>Order Cost (O)</t>
  </si>
  <si>
    <t>Inventory Carrying Cost Rate (C)</t>
  </si>
  <si>
    <t>H (Annual Holding Cost per Unit)</t>
  </si>
  <si>
    <t>H=V*C</t>
  </si>
  <si>
    <t>EOQ</t>
  </si>
  <si>
    <t>Ordering Cost</t>
  </si>
  <si>
    <t>Holding Cost</t>
  </si>
  <si>
    <t>Total Cost</t>
  </si>
  <si>
    <t>Section 2: Safety Stock Calculation</t>
  </si>
  <si>
    <t>Period</t>
  </si>
  <si>
    <t>Demand</t>
  </si>
  <si>
    <t>Order Lead Time</t>
  </si>
  <si>
    <t>Safety Stock Calculation Summary</t>
  </si>
  <si>
    <t>Service Level (Percentage)</t>
  </si>
  <si>
    <t>Service Level (k)</t>
  </si>
  <si>
    <t>Safety Stock (SS)</t>
  </si>
  <si>
    <r>
      <rPr>
        <sz val="16"/>
        <color theme="1"/>
        <rFont val="Times New Roman"/>
        <family val="1"/>
      </rPr>
      <t xml:space="preserve"> </t>
    </r>
    <r>
      <rPr>
        <b/>
        <sz val="16"/>
        <color theme="1"/>
        <rFont val="Times New Roman"/>
        <family val="1"/>
      </rPr>
      <t>Section 3: Reorder Point (Lead-Time Demand + Safety Stock)</t>
    </r>
  </si>
  <si>
    <t>Average Demand per Period (D)</t>
  </si>
  <si>
    <t>Average Lead Time (L)</t>
  </si>
  <si>
    <t>Lead-Time Demand</t>
  </si>
  <si>
    <t>Reorder Point (ROP)</t>
  </si>
  <si>
    <t>Safety Stock (Rounded for Planning)</t>
  </si>
  <si>
    <t>Standard Deviation of Demand (Sd)</t>
  </si>
  <si>
    <t>Average Demand (d)</t>
  </si>
  <si>
    <t>Average Lead Time (t)</t>
  </si>
  <si>
    <t>Standard Deviation of Lead Time (St)</t>
  </si>
  <si>
    <t>Combined Standard Deviation (Sc)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</si>
</sst>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4" formatCode="&quot;$&quot;#,##0.00"/>
    <numFmt numFmtId="165" formatCode="&quot;$&quot;#,##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Times New Roman"/>
      <family val="1"/>
    </font>
    <font>
      <sz val="11"/>
      <color theme="1"/>
      <name val="Times New Roman"/>
      <family val="1"/>
    </font>
    <font>
      <sz val="11"/>
      <color rgb="FF0F1114"/>
      <name val="Times New Roman"/>
      <family val="1"/>
    </font>
    <font>
      <sz val="16"/>
      <color theme="1"/>
      <name val="Times New Roman"/>
      <family val="1"/>
    </font>
    <font>
      <b/>
      <sz val="16"/>
      <color theme="1"/>
      <name val="Times New Roman"/>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749992370372631"/>
        <bgColor indexed="64"/>
      </patternFill>
    </fill>
    <fill>
      <patternFill patternType="solid">
        <fgColor theme="0" tint="-4.9989318521683403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16" fillId="0" borderId="0" xfId="0" applyFont="1"/>
    <xf numFmtId="0" fontId="18" fillId="0" borderId="0" xfId="0" applyFont="1"/>
    <xf numFmtId="0" fontId="19" fillId="0" borderId="0" xfId="0" applyFont="1"/>
    <xf numFmtId="0" fontId="20" fillId="0" borderId="0" xfId="0" applyFont="1"/>
    <xf numFmtId="6" fontId="20" fillId="0" borderId="0" xfId="0" applyNumberFormat="1" applyFont="1"/>
    <xf numFmtId="165" fontId="20" fillId="0" borderId="0" xfId="1" applyNumberFormat="1" applyFont="1"/>
    <xf numFmtId="8" fontId="20" fillId="0" borderId="0" xfId="0" applyNumberFormat="1" applyFont="1"/>
    <xf numFmtId="10" fontId="20" fillId="0" borderId="0" xfId="0" applyNumberFormat="1" applyFont="1"/>
    <xf numFmtId="9" fontId="20" fillId="0" borderId="0" xfId="0" applyNumberFormat="1" applyFont="1"/>
    <xf numFmtId="164" fontId="19" fillId="0" borderId="0" xfId="1" applyNumberFormat="1" applyFont="1"/>
    <xf numFmtId="164" fontId="19" fillId="0" borderId="0" xfId="0" applyNumberFormat="1" applyFont="1"/>
    <xf numFmtId="0" fontId="0" fillId="0" borderId="0" xfId="0" applyAlignment="1">
      <alignment horizontal="center"/>
    </xf>
    <xf numFmtId="0" fontId="22" fillId="0" borderId="0" xfId="0" applyFont="1" applyAlignment="1">
      <alignment horizontal="centerContinuous"/>
    </xf>
    <xf numFmtId="0" fontId="0" fillId="0" borderId="0" xfId="0" applyAlignment="1">
      <alignment horizontal="centerContinuous"/>
    </xf>
    <xf numFmtId="0" fontId="18" fillId="0" borderId="10" xfId="0" applyFont="1" applyBorder="1"/>
    <xf numFmtId="0" fontId="19" fillId="33" borderId="11" xfId="0" applyFont="1" applyFill="1" applyBorder="1"/>
    <xf numFmtId="0" fontId="21" fillId="0" borderId="0" xfId="0" applyFont="1" applyAlignment="1">
      <alignment horizontal="centerContinuous"/>
    </xf>
    <xf numFmtId="1" fontId="19" fillId="0" borderId="0" xfId="0" applyNumberFormat="1" applyFont="1"/>
    <xf numFmtId="1" fontId="18" fillId="0" borderId="0" xfId="0" applyNumberFormat="1" applyFont="1"/>
    <xf numFmtId="1" fontId="16" fillId="0" borderId="0" xfId="0" applyNumberFormat="1" applyFont="1"/>
    <xf numFmtId="2" fontId="19" fillId="0" borderId="0" xfId="0" applyNumberFormat="1" applyFont="1"/>
    <xf numFmtId="0" fontId="18" fillId="34" borderId="0" xfId="0" applyFont="1" applyFill="1"/>
    <xf numFmtId="1" fontId="18" fillId="34" borderId="0" xfId="0" applyNumberFormat="1" applyFont="1" applyFill="1"/>
    <xf numFmtId="0" fontId="16" fillId="33" borderId="0" xfId="0" applyFont="1" applyFill="1"/>
    <xf numFmtId="0" fontId="18" fillId="35" borderId="11" xfId="0" applyFont="1" applyFill="1" applyBorder="1"/>
    <xf numFmtId="0" fontId="18" fillId="0" borderId="12" xfId="0" applyFont="1" applyBorder="1"/>
    <xf numFmtId="9" fontId="18" fillId="0" borderId="0" xfId="0" applyNumberFormat="1" applyFont="1"/>
    <xf numFmtId="2" fontId="18" fillId="0" borderId="12" xfId="0" applyNumberFormat="1" applyFont="1" applyBorder="1"/>
    <xf numFmtId="1" fontId="18" fillId="0" borderId="12" xfId="0" applyNumberFormat="1" applyFon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EOQ Cost Breakdown</a:t>
            </a:r>
            <a:r>
              <a:rPr lang="en-US" b="1" baseline="0">
                <a:latin typeface="Times New Roman" panose="02020603050405020304" pitchFamily="18" charset="0"/>
                <a:cs typeface="Times New Roman" panose="02020603050405020304" pitchFamily="18" charset="0"/>
              </a:rPr>
              <a:t> - Lower Cost Items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stacked"/>
        <c:varyColors val="0"/>
        <c:ser>
          <c:idx val="0"/>
          <c:order val="0"/>
          <c:tx>
            <c:v>Ordering Cost</c:v>
          </c:tx>
          <c:spPr>
            <a:solidFill>
              <a:schemeClr val="accent1"/>
            </a:solidFill>
            <a:ln>
              <a:noFill/>
            </a:ln>
            <a:effectLst/>
          </c:spPr>
          <c:invertIfNegative val="0"/>
          <c:cat>
            <c:strRef>
              <c:extLst>
                <c:ext xmlns:c15="http://schemas.microsoft.com/office/drawing/2012/chart" uri="{02D57815-91ED-43cb-92C2-25804820EDAC}">
                  <c15:fullRef>
                    <c15:sqref>'EOQ Model'!$B$2:$F$2</c15:sqref>
                  </c15:fullRef>
                </c:ext>
              </c:extLst>
              <c:f>('EOQ Model'!$B$2:$C$2,'EOQ Model'!$E$2)</c:f>
              <c:strCache>
                <c:ptCount val="3"/>
                <c:pt idx="0">
                  <c:v>Product A</c:v>
                </c:pt>
                <c:pt idx="1">
                  <c:v>Product B</c:v>
                </c:pt>
                <c:pt idx="2">
                  <c:v>Product D</c:v>
                </c:pt>
              </c:strCache>
            </c:strRef>
          </c:cat>
          <c:val>
            <c:numRef>
              <c:extLst>
                <c:ext xmlns:c15="http://schemas.microsoft.com/office/drawing/2012/chart" uri="{02D57815-91ED-43cb-92C2-25804820EDAC}">
                  <c15:fullRef>
                    <c15:sqref>'EOQ Model'!$B$10:$F$10</c15:sqref>
                  </c15:fullRef>
                </c:ext>
              </c:extLst>
              <c:f>('EOQ Model'!$B$10:$C$10,'EOQ Model'!$E$10)</c:f>
              <c:numCache>
                <c:formatCode>"$"#,##0.00</c:formatCode>
                <c:ptCount val="3"/>
                <c:pt idx="0">
                  <c:v>2250</c:v>
                </c:pt>
                <c:pt idx="1">
                  <c:v>2000</c:v>
                </c:pt>
                <c:pt idx="2">
                  <c:v>900</c:v>
                </c:pt>
              </c:numCache>
            </c:numRef>
          </c:val>
          <c:extLst>
            <c:ext xmlns:c16="http://schemas.microsoft.com/office/drawing/2014/chart" uri="{C3380CC4-5D6E-409C-BE32-E72D297353CC}">
              <c16:uniqueId val="{00000000-76A3-4706-8510-676F7F60DCAC}"/>
            </c:ext>
          </c:extLst>
        </c:ser>
        <c:ser>
          <c:idx val="1"/>
          <c:order val="1"/>
          <c:tx>
            <c:v>Holding Cost</c:v>
          </c:tx>
          <c:spPr>
            <a:solidFill>
              <a:schemeClr val="accent2"/>
            </a:solidFill>
            <a:ln>
              <a:noFill/>
            </a:ln>
            <a:effectLst/>
          </c:spPr>
          <c:invertIfNegative val="0"/>
          <c:cat>
            <c:strRef>
              <c:extLst>
                <c:ext xmlns:c15="http://schemas.microsoft.com/office/drawing/2012/chart" uri="{02D57815-91ED-43cb-92C2-25804820EDAC}">
                  <c15:fullRef>
                    <c15:sqref>'EOQ Model'!$B$2:$F$2</c15:sqref>
                  </c15:fullRef>
                </c:ext>
              </c:extLst>
              <c:f>('EOQ Model'!$B$2:$C$2,'EOQ Model'!$E$2)</c:f>
              <c:strCache>
                <c:ptCount val="3"/>
                <c:pt idx="0">
                  <c:v>Product A</c:v>
                </c:pt>
                <c:pt idx="1">
                  <c:v>Product B</c:v>
                </c:pt>
                <c:pt idx="2">
                  <c:v>Product D</c:v>
                </c:pt>
              </c:strCache>
            </c:strRef>
          </c:cat>
          <c:val>
            <c:numRef>
              <c:extLst>
                <c:ext xmlns:c15="http://schemas.microsoft.com/office/drawing/2012/chart" uri="{02D57815-91ED-43cb-92C2-25804820EDAC}">
                  <c15:fullRef>
                    <c15:sqref>'EOQ Model'!$B$11:$F$11</c15:sqref>
                  </c15:fullRef>
                </c:ext>
              </c:extLst>
              <c:f>('EOQ Model'!$B$11:$C$11,'EOQ Model'!$E$11)</c:f>
              <c:numCache>
                <c:formatCode>"$"#,##0.00</c:formatCode>
                <c:ptCount val="3"/>
                <c:pt idx="0">
                  <c:v>2250</c:v>
                </c:pt>
                <c:pt idx="1">
                  <c:v>2000</c:v>
                </c:pt>
                <c:pt idx="2">
                  <c:v>900</c:v>
                </c:pt>
              </c:numCache>
            </c:numRef>
          </c:val>
          <c:extLst>
            <c:ext xmlns:c16="http://schemas.microsoft.com/office/drawing/2014/chart" uri="{C3380CC4-5D6E-409C-BE32-E72D297353CC}">
              <c16:uniqueId val="{00000001-76A3-4706-8510-676F7F60DCAC}"/>
            </c:ext>
          </c:extLst>
        </c:ser>
        <c:dLbls>
          <c:showLegendKey val="0"/>
          <c:showVal val="0"/>
          <c:showCatName val="0"/>
          <c:showSerName val="0"/>
          <c:showPercent val="0"/>
          <c:showBubbleSize val="0"/>
        </c:dLbls>
        <c:gapWidth val="150"/>
        <c:overlap val="100"/>
        <c:axId val="907675343"/>
        <c:axId val="907675823"/>
      </c:barChart>
      <c:catAx>
        <c:axId val="90767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07675823"/>
        <c:crosses val="autoZero"/>
        <c:auto val="1"/>
        <c:lblAlgn val="ctr"/>
        <c:lblOffset val="100"/>
        <c:noMultiLvlLbl val="0"/>
      </c:catAx>
      <c:valAx>
        <c:axId val="907675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Annual</a:t>
                </a:r>
                <a:r>
                  <a:rPr lang="en-US" b="1" baseline="0">
                    <a:latin typeface="Times New Roman" panose="02020603050405020304" pitchFamily="18" charset="0"/>
                    <a:cs typeface="Times New Roman" panose="02020603050405020304" pitchFamily="18" charset="0"/>
                  </a:rPr>
                  <a:t> Cost ($)</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07675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EOQ</a:t>
            </a:r>
            <a:r>
              <a:rPr lang="en-US" b="1" baseline="0">
                <a:latin typeface="Times New Roman" panose="02020603050405020304" pitchFamily="18" charset="0"/>
                <a:cs typeface="Times New Roman" panose="02020603050405020304" pitchFamily="18" charset="0"/>
              </a:rPr>
              <a:t> Cost Breqkdown - Higher Cost Items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stacked"/>
        <c:varyColors val="0"/>
        <c:ser>
          <c:idx val="0"/>
          <c:order val="0"/>
          <c:tx>
            <c:v>Ordering Cost</c:v>
          </c:tx>
          <c:spPr>
            <a:solidFill>
              <a:schemeClr val="accent1"/>
            </a:solidFill>
            <a:ln>
              <a:noFill/>
            </a:ln>
            <a:effectLst/>
          </c:spPr>
          <c:invertIfNegative val="0"/>
          <c:cat>
            <c:strRef>
              <c:extLst>
                <c:ext xmlns:c15="http://schemas.microsoft.com/office/drawing/2012/chart" uri="{02D57815-91ED-43cb-92C2-25804820EDAC}">
                  <c15:fullRef>
                    <c15:sqref>'EOQ Model'!$B$2:$F$2</c15:sqref>
                  </c15:fullRef>
                </c:ext>
              </c:extLst>
              <c:f>('EOQ Model'!$D$2,'EOQ Model'!$F$2)</c:f>
              <c:strCache>
                <c:ptCount val="2"/>
                <c:pt idx="0">
                  <c:v>Product C</c:v>
                </c:pt>
                <c:pt idx="1">
                  <c:v>Product E</c:v>
                </c:pt>
              </c:strCache>
            </c:strRef>
          </c:cat>
          <c:val>
            <c:numRef>
              <c:extLst>
                <c:ext xmlns:c15="http://schemas.microsoft.com/office/drawing/2012/chart" uri="{02D57815-91ED-43cb-92C2-25804820EDAC}">
                  <c15:fullRef>
                    <c15:sqref>'EOQ Model'!$B$10:$F$10</c15:sqref>
                  </c15:fullRef>
                </c:ext>
              </c:extLst>
              <c:f>('EOQ Model'!$D$10,'EOQ Model'!$F$10)</c:f>
              <c:numCache>
                <c:formatCode>"$"#,##0.00</c:formatCode>
                <c:ptCount val="2"/>
                <c:pt idx="0">
                  <c:v>60000</c:v>
                </c:pt>
                <c:pt idx="1">
                  <c:v>12500</c:v>
                </c:pt>
              </c:numCache>
            </c:numRef>
          </c:val>
          <c:extLst>
            <c:ext xmlns:c16="http://schemas.microsoft.com/office/drawing/2014/chart" uri="{C3380CC4-5D6E-409C-BE32-E72D297353CC}">
              <c16:uniqueId val="{00000000-0248-4544-9218-F1BEB800774E}"/>
            </c:ext>
          </c:extLst>
        </c:ser>
        <c:ser>
          <c:idx val="1"/>
          <c:order val="1"/>
          <c:tx>
            <c:v>Holding Cost</c:v>
          </c:tx>
          <c:spPr>
            <a:solidFill>
              <a:schemeClr val="accent2"/>
            </a:solidFill>
            <a:ln>
              <a:noFill/>
            </a:ln>
            <a:effectLst/>
          </c:spPr>
          <c:invertIfNegative val="0"/>
          <c:cat>
            <c:strRef>
              <c:extLst>
                <c:ext xmlns:c15="http://schemas.microsoft.com/office/drawing/2012/chart" uri="{02D57815-91ED-43cb-92C2-25804820EDAC}">
                  <c15:fullRef>
                    <c15:sqref>'EOQ Model'!$B$2:$F$2</c15:sqref>
                  </c15:fullRef>
                </c:ext>
              </c:extLst>
              <c:f>('EOQ Model'!$D$2,'EOQ Model'!$F$2)</c:f>
              <c:strCache>
                <c:ptCount val="2"/>
                <c:pt idx="0">
                  <c:v>Product C</c:v>
                </c:pt>
                <c:pt idx="1">
                  <c:v>Product E</c:v>
                </c:pt>
              </c:strCache>
            </c:strRef>
          </c:cat>
          <c:val>
            <c:numRef>
              <c:extLst>
                <c:ext xmlns:c15="http://schemas.microsoft.com/office/drawing/2012/chart" uri="{02D57815-91ED-43cb-92C2-25804820EDAC}">
                  <c15:fullRef>
                    <c15:sqref>'EOQ Model'!$B$11:$F$11</c15:sqref>
                  </c15:fullRef>
                </c:ext>
              </c:extLst>
              <c:f>('EOQ Model'!$D$11,'EOQ Model'!$F$11)</c:f>
              <c:numCache>
                <c:formatCode>"$"#,##0.00</c:formatCode>
                <c:ptCount val="2"/>
                <c:pt idx="0">
                  <c:v>60000</c:v>
                </c:pt>
                <c:pt idx="1">
                  <c:v>12500</c:v>
                </c:pt>
              </c:numCache>
            </c:numRef>
          </c:val>
          <c:extLst>
            <c:ext xmlns:c16="http://schemas.microsoft.com/office/drawing/2014/chart" uri="{C3380CC4-5D6E-409C-BE32-E72D297353CC}">
              <c16:uniqueId val="{00000001-0248-4544-9218-F1BEB800774E}"/>
            </c:ext>
          </c:extLst>
        </c:ser>
        <c:dLbls>
          <c:showLegendKey val="0"/>
          <c:showVal val="0"/>
          <c:showCatName val="0"/>
          <c:showSerName val="0"/>
          <c:showPercent val="0"/>
          <c:showBubbleSize val="0"/>
        </c:dLbls>
        <c:gapWidth val="150"/>
        <c:overlap val="100"/>
        <c:axId val="905463087"/>
        <c:axId val="905463567"/>
      </c:barChart>
      <c:catAx>
        <c:axId val="90546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05463567"/>
        <c:crosses val="autoZero"/>
        <c:auto val="1"/>
        <c:lblAlgn val="ctr"/>
        <c:lblOffset val="100"/>
        <c:noMultiLvlLbl val="0"/>
      </c:catAx>
      <c:valAx>
        <c:axId val="905463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Annual</a:t>
                </a:r>
                <a:r>
                  <a:rPr lang="en-US" b="1" baseline="0">
                    <a:latin typeface="Times New Roman" panose="02020603050405020304" pitchFamily="18" charset="0"/>
                    <a:cs typeface="Times New Roman" panose="02020603050405020304" pitchFamily="18" charset="0"/>
                  </a:rPr>
                  <a:t> Cost ($)</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05463087"/>
        <c:crosses val="autoZero"/>
        <c:crossBetween val="between"/>
      </c:valAx>
      <c:spPr>
        <a:noFill/>
        <a:ln>
          <a:noFill/>
        </a:ln>
        <a:effectLst/>
      </c:spPr>
    </c:plotArea>
    <c:legend>
      <c:legendPos val="b"/>
      <c:layout>
        <c:manualLayout>
          <c:xMode val="edge"/>
          <c:yMode val="edge"/>
          <c:x val="0.14135308488169507"/>
          <c:y val="0.89409667541557303"/>
          <c:w val="0.77662595018638725"/>
          <c:h val="7.81255468066491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Safety Stock Requirements by Product</a:t>
            </a:r>
          </a:p>
        </c:rich>
      </c:tx>
      <c:layout>
        <c:manualLayout>
          <c:xMode val="edge"/>
          <c:yMode val="edge"/>
          <c:x val="0.3450570051782043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136482939632546E-2"/>
          <c:y val="0.16708333333333336"/>
          <c:w val="0.89030796150481195"/>
          <c:h val="0.6704013560804899"/>
        </c:manualLayout>
      </c:layout>
      <c:barChart>
        <c:barDir val="col"/>
        <c:grouping val="stacked"/>
        <c:varyColors val="0"/>
        <c:ser>
          <c:idx val="0"/>
          <c:order val="0"/>
          <c:tx>
            <c:strRef>
              <c:f>'Safety Stock'!$A$53</c:f>
              <c:strCache>
                <c:ptCount val="1"/>
                <c:pt idx="0">
                  <c:v>Safety Stock (Rounded for Planning)</c:v>
                </c:pt>
              </c:strCache>
            </c:strRef>
          </c:tx>
          <c:spPr>
            <a:solidFill>
              <a:schemeClr val="accent1"/>
            </a:solidFill>
            <a:ln>
              <a:noFill/>
            </a:ln>
            <a:effectLst/>
          </c:spPr>
          <c:invertIfNegative val="0"/>
          <c:cat>
            <c:strRef>
              <c:extLst>
                <c:ext xmlns:c15="http://schemas.microsoft.com/office/drawing/2012/chart" uri="{02D57815-91ED-43cb-92C2-25804820EDAC}">
                  <c15:fullRef>
                    <c15:sqref>'Safety Stock'!$B$2:$K$2</c15:sqref>
                  </c15:fullRef>
                </c:ext>
              </c:extLst>
              <c:f>('Safety Stock'!$B$2,'Safety Stock'!$D$2,'Safety Stock'!$F$2,'Safety Stock'!$H$2,'Safety Stock'!$J$2)</c:f>
              <c:strCache>
                <c:ptCount val="5"/>
                <c:pt idx="0">
                  <c:v>Product A</c:v>
                </c:pt>
                <c:pt idx="1">
                  <c:v>Product B</c:v>
                </c:pt>
                <c:pt idx="2">
                  <c:v>Product C</c:v>
                </c:pt>
                <c:pt idx="3">
                  <c:v>Product D</c:v>
                </c:pt>
                <c:pt idx="4">
                  <c:v>Product E</c:v>
                </c:pt>
              </c:strCache>
            </c:strRef>
          </c:cat>
          <c:val>
            <c:numRef>
              <c:extLst>
                <c:ext xmlns:c15="http://schemas.microsoft.com/office/drawing/2012/chart" uri="{02D57815-91ED-43cb-92C2-25804820EDAC}">
                  <c15:fullRef>
                    <c15:sqref>'Safety Stock'!$B$53:$K$53</c15:sqref>
                  </c15:fullRef>
                </c:ext>
              </c:extLst>
              <c:f>('Safety Stock'!$B$53,'Safety Stock'!$D$53,'Safety Stock'!$F$53,'Safety Stock'!$H$53,'Safety Stock'!$J$53)</c:f>
              <c:numCache>
                <c:formatCode>General</c:formatCode>
                <c:ptCount val="5"/>
                <c:pt idx="0" formatCode="0">
                  <c:v>84</c:v>
                </c:pt>
                <c:pt idx="1" formatCode="0">
                  <c:v>90</c:v>
                </c:pt>
                <c:pt idx="2" formatCode="0">
                  <c:v>234</c:v>
                </c:pt>
                <c:pt idx="3" formatCode="0">
                  <c:v>316</c:v>
                </c:pt>
                <c:pt idx="4" formatCode="0">
                  <c:v>542</c:v>
                </c:pt>
              </c:numCache>
            </c:numRef>
          </c:val>
          <c:extLst>
            <c:ext xmlns:c16="http://schemas.microsoft.com/office/drawing/2014/chart" uri="{C3380CC4-5D6E-409C-BE32-E72D297353CC}">
              <c16:uniqueId val="{00000000-B3B6-4BBB-9DBF-010E1FD670CD}"/>
            </c:ext>
          </c:extLst>
        </c:ser>
        <c:dLbls>
          <c:showLegendKey val="0"/>
          <c:showVal val="0"/>
          <c:showCatName val="0"/>
          <c:showSerName val="0"/>
          <c:showPercent val="0"/>
          <c:showBubbleSize val="0"/>
        </c:dLbls>
        <c:gapWidth val="150"/>
        <c:overlap val="100"/>
        <c:axId val="993784112"/>
        <c:axId val="993784592"/>
      </c:barChart>
      <c:catAx>
        <c:axId val="99378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93784592"/>
        <c:crosses val="autoZero"/>
        <c:auto val="1"/>
        <c:lblAlgn val="ctr"/>
        <c:lblOffset val="100"/>
        <c:noMultiLvlLbl val="0"/>
      </c:catAx>
      <c:valAx>
        <c:axId val="9937845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9378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225425</xdr:colOff>
      <xdr:row>14</xdr:row>
      <xdr:rowOff>25400</xdr:rowOff>
    </xdr:from>
    <xdr:to>
      <xdr:col>4</xdr:col>
      <xdr:colOff>593725</xdr:colOff>
      <xdr:row>29</xdr:row>
      <xdr:rowOff>6350</xdr:rowOff>
    </xdr:to>
    <xdr:graphicFrame macro="">
      <xdr:nvGraphicFramePr>
        <xdr:cNvPr id="5" name="Chart 4">
          <a:extLst>
            <a:ext uri="{FF2B5EF4-FFF2-40B4-BE49-F238E27FC236}">
              <a16:creationId xmlns:a16="http://schemas.microsoft.com/office/drawing/2014/main" id="{AF8C20DB-A0AF-2530-16A2-15D4BFB41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384175</xdr:colOff>
      <xdr:row>14</xdr:row>
      <xdr:rowOff>19050</xdr:rowOff>
    </xdr:from>
    <xdr:to>
      <xdr:col>8</xdr:col>
      <xdr:colOff>438150</xdr:colOff>
      <xdr:row>29</xdr:row>
      <xdr:rowOff>0</xdr:rowOff>
    </xdr:to>
    <xdr:graphicFrame macro="">
      <xdr:nvGraphicFramePr>
        <xdr:cNvPr id="6" name="Chart 5">
          <a:extLst>
            <a:ext uri="{FF2B5EF4-FFF2-40B4-BE49-F238E27FC236}">
              <a16:creationId xmlns:a16="http://schemas.microsoft.com/office/drawing/2014/main" id="{37045159-4363-BD79-0B00-8C6B00D3E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222250</xdr:colOff>
      <xdr:row>30</xdr:row>
      <xdr:rowOff>19050</xdr:rowOff>
    </xdr:from>
    <xdr:to>
      <xdr:col>8</xdr:col>
      <xdr:colOff>463550</xdr:colOff>
      <xdr:row>32</xdr:row>
      <xdr:rowOff>95250</xdr:rowOff>
    </xdr:to>
    <xdr:sp macro="" textlink="">
      <xdr:nvSpPr>
        <xdr:cNvPr id="10" name="TextBox 9">
          <a:extLst>
            <a:ext uri="{FF2B5EF4-FFF2-40B4-BE49-F238E27FC236}">
              <a16:creationId xmlns:a16="http://schemas.microsoft.com/office/drawing/2014/main" id="{4003B5E5-C77A-8AC7-D6EC-30A296A9FEE5}"/>
            </a:ext>
          </a:extLst>
        </xdr:cNvPr>
        <xdr:cNvSpPr txBox="1"/>
      </xdr:nvSpPr>
      <xdr:spPr>
        <a:xfrm>
          <a:off x="222250" y="6718300"/>
          <a:ext cx="762635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Times New Roman" panose="02020603050405020304" pitchFamily="18" charset="0"/>
              <a:cs typeface="Times New Roman" panose="02020603050405020304" pitchFamily="18" charset="0"/>
            </a:rPr>
            <a:t>Note: Products are grouped into separate charts to account for significant differences in total cost magnitude, ensuring accurate visual comparison across items.</a:t>
          </a:r>
        </a:p>
      </xdr:txBody>
    </xdr:sp>
    <xdr:clientData/>
  </xdr:twoCellAnchor>
  <xdr:twoCellAnchor>
    <xdr:from>
      <xdr:col>6</xdr:col>
      <xdr:colOff>6350</xdr:colOff>
      <xdr:row>11</xdr:row>
      <xdr:rowOff>19050</xdr:rowOff>
    </xdr:from>
    <xdr:to>
      <xdr:col>9</xdr:col>
      <xdr:colOff>673100</xdr:colOff>
      <xdr:row>11</xdr:row>
      <xdr:rowOff>266700</xdr:rowOff>
    </xdr:to>
    <xdr:sp macro="" textlink="">
      <xdr:nvSpPr>
        <xdr:cNvPr id="11" name="TextBox 10">
          <a:extLst>
            <a:ext uri="{FF2B5EF4-FFF2-40B4-BE49-F238E27FC236}">
              <a16:creationId xmlns:a16="http://schemas.microsoft.com/office/drawing/2014/main" id="{0531F89F-F67D-FA04-2309-D738B94BF7FB}"/>
            </a:ext>
          </a:extLst>
        </xdr:cNvPr>
        <xdr:cNvSpPr txBox="1"/>
      </xdr:nvSpPr>
      <xdr:spPr>
        <a:xfrm>
          <a:off x="5784850" y="2647950"/>
          <a:ext cx="2940050" cy="247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Times New Roman" panose="02020603050405020304" pitchFamily="18" charset="0"/>
              <a:cs typeface="Times New Roman" panose="02020603050405020304" pitchFamily="18" charset="0"/>
            </a:rPr>
            <a:t>Total</a:t>
          </a:r>
          <a:r>
            <a:rPr lang="en-US" sz="1200" b="1" baseline="0">
              <a:latin typeface="Times New Roman" panose="02020603050405020304" pitchFamily="18" charset="0"/>
              <a:cs typeface="Times New Roman" panose="02020603050405020304" pitchFamily="18" charset="0"/>
            </a:rPr>
            <a:t> Cost= Ordering Cost+Holding Cost</a:t>
          </a:r>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5</xdr:col>
      <xdr:colOff>901700</xdr:colOff>
      <xdr:row>8</xdr:row>
      <xdr:rowOff>0</xdr:rowOff>
    </xdr:from>
    <xdr:to>
      <xdr:col>8</xdr:col>
      <xdr:colOff>647700</xdr:colOff>
      <xdr:row>8</xdr:row>
      <xdr:rowOff>279400</xdr:rowOff>
    </xdr:to>
    <xdr:sp macro="" textlink="">
      <xdr:nvSpPr>
        <xdr:cNvPr id="12" name="TextBox 11">
          <a:extLst>
            <a:ext uri="{FF2B5EF4-FFF2-40B4-BE49-F238E27FC236}">
              <a16:creationId xmlns:a16="http://schemas.microsoft.com/office/drawing/2014/main" id="{97958217-99A0-5179-8D03-D15DECF97C94}"/>
            </a:ext>
          </a:extLst>
        </xdr:cNvPr>
        <xdr:cNvSpPr txBox="1"/>
      </xdr:nvSpPr>
      <xdr:spPr>
        <a:xfrm>
          <a:off x="5772150" y="1536700"/>
          <a:ext cx="2260600" cy="2794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Times New Roman" panose="02020603050405020304" pitchFamily="18" charset="0"/>
              <a:cs typeface="Times New Roman" panose="02020603050405020304" pitchFamily="18" charset="0"/>
            </a:rPr>
            <a:t>EOQ = √(2 × O × D ÷ H)  </a:t>
          </a:r>
        </a:p>
        <a:p>
          <a:endParaRPr lang="en-US" sz="1100"/>
        </a:p>
      </xdr:txBody>
    </xdr:sp>
    <xdr:clientData/>
  </xdr:twoCellAnchor>
  <xdr:twoCellAnchor>
    <xdr:from>
      <xdr:col>6</xdr:col>
      <xdr:colOff>19050</xdr:colOff>
      <xdr:row>9</xdr:row>
      <xdr:rowOff>12700</xdr:rowOff>
    </xdr:from>
    <xdr:to>
      <xdr:col>8</xdr:col>
      <xdr:colOff>654050</xdr:colOff>
      <xdr:row>9</xdr:row>
      <xdr:rowOff>336550</xdr:rowOff>
    </xdr:to>
    <xdr:sp macro="" textlink="">
      <xdr:nvSpPr>
        <xdr:cNvPr id="13" name="TextBox 12">
          <a:extLst>
            <a:ext uri="{FF2B5EF4-FFF2-40B4-BE49-F238E27FC236}">
              <a16:creationId xmlns:a16="http://schemas.microsoft.com/office/drawing/2014/main" id="{98659BA6-DCEC-53ED-4B4C-4DC31A97A433}"/>
            </a:ext>
          </a:extLst>
        </xdr:cNvPr>
        <xdr:cNvSpPr txBox="1"/>
      </xdr:nvSpPr>
      <xdr:spPr>
        <a:xfrm>
          <a:off x="5797550" y="1847850"/>
          <a:ext cx="2241550" cy="3238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Times New Roman" panose="02020603050405020304" pitchFamily="18" charset="0"/>
              <a:cs typeface="Times New Roman" panose="02020603050405020304" pitchFamily="18" charset="0"/>
            </a:rPr>
            <a:t>Ordering Cost = (O × D) ÷ Q</a:t>
          </a:r>
        </a:p>
        <a:p>
          <a:pPr algn="ctr"/>
          <a:endParaRPr lang="en-US" sz="1100"/>
        </a:p>
      </xdr:txBody>
    </xdr:sp>
    <xdr:clientData/>
  </xdr:twoCellAnchor>
  <xdr:twoCellAnchor>
    <xdr:from>
      <xdr:col>6</xdr:col>
      <xdr:colOff>6350</xdr:colOff>
      <xdr:row>10</xdr:row>
      <xdr:rowOff>19050</xdr:rowOff>
    </xdr:from>
    <xdr:to>
      <xdr:col>8</xdr:col>
      <xdr:colOff>647700</xdr:colOff>
      <xdr:row>10</xdr:row>
      <xdr:rowOff>355600</xdr:rowOff>
    </xdr:to>
    <xdr:sp macro="" textlink="">
      <xdr:nvSpPr>
        <xdr:cNvPr id="14" name="TextBox 13">
          <a:extLst>
            <a:ext uri="{FF2B5EF4-FFF2-40B4-BE49-F238E27FC236}">
              <a16:creationId xmlns:a16="http://schemas.microsoft.com/office/drawing/2014/main" id="{8BF06B92-B269-27FD-08BB-AA3B494611C9}"/>
            </a:ext>
          </a:extLst>
        </xdr:cNvPr>
        <xdr:cNvSpPr txBox="1"/>
      </xdr:nvSpPr>
      <xdr:spPr>
        <a:xfrm>
          <a:off x="5784850" y="2209800"/>
          <a:ext cx="2247900" cy="3365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Times New Roman" panose="02020603050405020304" pitchFamily="18" charset="0"/>
              <a:cs typeface="Times New Roman" panose="02020603050405020304" pitchFamily="18" charset="0"/>
            </a:rPr>
            <a:t>Holding Cost = (H × Q) ÷ 2</a:t>
          </a:r>
        </a:p>
        <a:p>
          <a:pPr algn="ctr"/>
          <a:endParaRPr lang="en-US" sz="1100"/>
        </a:p>
      </xdr:txBody>
    </xdr:sp>
    <xdr:clientData/>
  </xdr:twoCellAnchor>
  <xdr:twoCellAnchor editAs="oneCell">
    <xdr:from>
      <xdr:col>0</xdr:col>
      <xdr:colOff>228600</xdr:colOff>
      <xdr:row>36</xdr:row>
      <xdr:rowOff>12700</xdr:rowOff>
    </xdr:from>
    <xdr:to>
      <xdr:col>0</xdr:col>
      <xdr:colOff>1263703</xdr:colOff>
      <xdr:row>39</xdr:row>
      <xdr:rowOff>171487</xdr:rowOff>
    </xdr:to>
    <xdr:pic>
      <xdr:nvPicPr>
        <xdr:cNvPr id="16" name="Picture 15">
          <a:extLst>
            <a:ext uri="{FF2B5EF4-FFF2-40B4-BE49-F238E27FC236}">
              <a16:creationId xmlns:a16="http://schemas.microsoft.com/office/drawing/2014/main" id="{50C51311-6DCC-C5BF-0E4C-97538ECAC62E}"/>
            </a:ext>
          </a:extLst>
        </xdr:cNvPr>
        <xdr:cNvPicPr>
          <a:picLocks noChangeAspect="1"/>
        </xdr:cNvPicPr>
      </xdr:nvPicPr>
      <xdr:blipFill>
        <a:blip xmlns:r="http://schemas.openxmlformats.org/officeDocument/2006/relationships" r:embed="rId3"/>
        <a:stretch>
          <a:fillRect/>
        </a:stretch>
      </xdr:blipFill>
      <xdr:spPr>
        <a:xfrm>
          <a:off x="228600" y="7188200"/>
          <a:ext cx="1035103" cy="711237"/>
        </a:xfrm>
        <a:prstGeom prst="rect">
          <a:avLst/>
        </a:prstGeom>
        <a:solidFill>
          <a:schemeClr val="bg1">
            <a:lumMod val="95000"/>
          </a:schemeClr>
        </a:solidFill>
      </xdr:spPr>
    </xdr:pic>
    <xdr:clientData/>
  </xdr:twoCellAnchor>
  <xdr:twoCellAnchor editAs="oneCell">
    <xdr:from>
      <xdr:col>0</xdr:col>
      <xdr:colOff>1397000</xdr:colOff>
      <xdr:row>36</xdr:row>
      <xdr:rowOff>12700</xdr:rowOff>
    </xdr:from>
    <xdr:to>
      <xdr:col>2</xdr:col>
      <xdr:colOff>50874</xdr:colOff>
      <xdr:row>38</xdr:row>
      <xdr:rowOff>127025</xdr:rowOff>
    </xdr:to>
    <xdr:pic>
      <xdr:nvPicPr>
        <xdr:cNvPr id="18" name="Picture 17">
          <a:extLst>
            <a:ext uri="{FF2B5EF4-FFF2-40B4-BE49-F238E27FC236}">
              <a16:creationId xmlns:a16="http://schemas.microsoft.com/office/drawing/2014/main" id="{4AF501E7-B08A-7CC8-555F-B39DA8004A7E}"/>
            </a:ext>
          </a:extLst>
        </xdr:cNvPr>
        <xdr:cNvPicPr>
          <a:picLocks noChangeAspect="1"/>
        </xdr:cNvPicPr>
      </xdr:nvPicPr>
      <xdr:blipFill>
        <a:blip xmlns:r="http://schemas.openxmlformats.org/officeDocument/2006/relationships" r:embed="rId4"/>
        <a:stretch>
          <a:fillRect/>
        </a:stretch>
      </xdr:blipFill>
      <xdr:spPr>
        <a:xfrm>
          <a:off x="1397000" y="7188200"/>
          <a:ext cx="1435174" cy="482625"/>
        </a:xfrm>
        <a:prstGeom prst="rect">
          <a:avLst/>
        </a:prstGeom>
      </xdr:spPr>
    </xdr:pic>
    <xdr:clientData/>
  </xdr:twoCellAnchor>
  <xdr:twoCellAnchor editAs="oneCell">
    <xdr:from>
      <xdr:col>2</xdr:col>
      <xdr:colOff>171450</xdr:colOff>
      <xdr:row>36</xdr:row>
      <xdr:rowOff>6350</xdr:rowOff>
    </xdr:from>
    <xdr:to>
      <xdr:col>4</xdr:col>
      <xdr:colOff>260428</xdr:colOff>
      <xdr:row>38</xdr:row>
      <xdr:rowOff>139726</xdr:rowOff>
    </xdr:to>
    <xdr:pic>
      <xdr:nvPicPr>
        <xdr:cNvPr id="20" name="Picture 19">
          <a:extLst>
            <a:ext uri="{FF2B5EF4-FFF2-40B4-BE49-F238E27FC236}">
              <a16:creationId xmlns:a16="http://schemas.microsoft.com/office/drawing/2014/main" id="{159DF10C-1989-E1C3-AE18-61CAD06BF4B6}"/>
            </a:ext>
          </a:extLst>
        </xdr:cNvPr>
        <xdr:cNvPicPr>
          <a:picLocks noChangeAspect="1"/>
        </xdr:cNvPicPr>
      </xdr:nvPicPr>
      <xdr:blipFill>
        <a:blip xmlns:r="http://schemas.openxmlformats.org/officeDocument/2006/relationships" r:embed="rId5"/>
        <a:stretch>
          <a:fillRect/>
        </a:stretch>
      </xdr:blipFill>
      <xdr:spPr>
        <a:xfrm>
          <a:off x="2952750" y="7181850"/>
          <a:ext cx="1511378" cy="5016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25400</xdr:colOff>
      <xdr:row>73</xdr:row>
      <xdr:rowOff>6350</xdr:rowOff>
    </xdr:from>
    <xdr:ext cx="4667250" cy="742950"/>
    <xdr:sp macro="" textlink="">
      <xdr:nvSpPr>
        <xdr:cNvPr id="2" name="TextBox 1">
          <a:extLst>
            <a:ext uri="{FF2B5EF4-FFF2-40B4-BE49-F238E27FC236}">
              <a16:creationId xmlns:a16="http://schemas.microsoft.com/office/drawing/2014/main" id="{9A750627-2867-FFA4-ADB5-DD937AD75DAD}"/>
            </a:ext>
          </a:extLst>
        </xdr:cNvPr>
        <xdr:cNvSpPr txBox="1"/>
      </xdr:nvSpPr>
      <xdr:spPr>
        <a:xfrm>
          <a:off x="6356350" y="13531850"/>
          <a:ext cx="4667250" cy="74295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200" b="1">
              <a:latin typeface="Times New Roman" panose="02020603050405020304" pitchFamily="18" charset="0"/>
              <a:cs typeface="Times New Roman" panose="02020603050405020304" pitchFamily="18" charset="0"/>
            </a:rPr>
            <a:t>This model demonstrates classical Safety stock calculations under stochastic demand and lead time using Excel, emphasizing transparency and foundational supply-chain planning principles</a:t>
          </a:r>
          <a:r>
            <a:rPr lang="en-US" sz="1200">
              <a:latin typeface="Times New Roman" panose="02020603050405020304" pitchFamily="18" charset="0"/>
              <a:cs typeface="Times New Roman" panose="02020603050405020304" pitchFamily="18" charset="0"/>
            </a:rPr>
            <a:t>.</a:t>
          </a:r>
        </a:p>
      </xdr:txBody>
    </xdr:sp>
    <xdr:clientData/>
  </xdr:oneCellAnchor>
  <xdr:oneCellAnchor>
    <xdr:from>
      <xdr:col>4</xdr:col>
      <xdr:colOff>6350</xdr:colOff>
      <xdr:row>70</xdr:row>
      <xdr:rowOff>0</xdr:rowOff>
    </xdr:from>
    <xdr:ext cx="2908300" cy="361950"/>
    <xdr:sp macro="" textlink="">
      <xdr:nvSpPr>
        <xdr:cNvPr id="4" name="TextBox 3">
          <a:extLst>
            <a:ext uri="{FF2B5EF4-FFF2-40B4-BE49-F238E27FC236}">
              <a16:creationId xmlns:a16="http://schemas.microsoft.com/office/drawing/2014/main" id="{F38F24C5-DFA6-E592-06A8-735A65E939A1}"/>
            </a:ext>
          </a:extLst>
        </xdr:cNvPr>
        <xdr:cNvSpPr txBox="1"/>
      </xdr:nvSpPr>
      <xdr:spPr>
        <a:xfrm>
          <a:off x="4552950" y="12973050"/>
          <a:ext cx="2908300" cy="36195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i="1" u="sng">
              <a:latin typeface="Times New Roman" panose="02020603050405020304" pitchFamily="18" charset="0"/>
              <a:cs typeface="Times New Roman" panose="02020603050405020304" pitchFamily="18" charset="0"/>
            </a:rPr>
            <a:t>Model Assumptions</a:t>
          </a:r>
          <a:r>
            <a:rPr lang="en-US" sz="1400" b="1" i="1" u="sng" baseline="0">
              <a:latin typeface="Times New Roman" panose="02020603050405020304" pitchFamily="18" charset="0"/>
              <a:cs typeface="Times New Roman" panose="02020603050405020304" pitchFamily="18" charset="0"/>
            </a:rPr>
            <a:t> &amp; Notes</a:t>
          </a:r>
          <a:endParaRPr lang="en-US" sz="1400" b="1" i="1" u="sng">
            <a:latin typeface="Times New Roman" panose="02020603050405020304" pitchFamily="18" charset="0"/>
            <a:cs typeface="Times New Roman" panose="02020603050405020304" pitchFamily="18" charset="0"/>
          </a:endParaRPr>
        </a:p>
      </xdr:txBody>
    </xdr:sp>
    <xdr:clientData/>
  </xdr:oneCellAnchor>
  <xdr:oneCellAnchor>
    <xdr:from>
      <xdr:col>0</xdr:col>
      <xdr:colOff>615950</xdr:colOff>
      <xdr:row>72</xdr:row>
      <xdr:rowOff>177800</xdr:rowOff>
    </xdr:from>
    <xdr:ext cx="5283200" cy="387350"/>
    <xdr:sp macro="" textlink="">
      <xdr:nvSpPr>
        <xdr:cNvPr id="6" name="TextBox 5">
          <a:extLst>
            <a:ext uri="{FF2B5EF4-FFF2-40B4-BE49-F238E27FC236}">
              <a16:creationId xmlns:a16="http://schemas.microsoft.com/office/drawing/2014/main" id="{54E758E8-991E-08B8-CE52-07AE3662D650}"/>
            </a:ext>
          </a:extLst>
        </xdr:cNvPr>
        <xdr:cNvSpPr txBox="1"/>
      </xdr:nvSpPr>
      <xdr:spPr>
        <a:xfrm>
          <a:off x="615950" y="13519150"/>
          <a:ext cx="5283200" cy="38735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1">
              <a:latin typeface="Times New Roman" panose="02020603050405020304" pitchFamily="18" charset="0"/>
              <a:cs typeface="Times New Roman" panose="02020603050405020304" pitchFamily="18" charset="0"/>
            </a:rPr>
            <a:t>Demand measured in units per period;</a:t>
          </a:r>
          <a:r>
            <a:rPr lang="en-US" sz="1200" b="1" baseline="0">
              <a:latin typeface="Times New Roman" panose="02020603050405020304" pitchFamily="18" charset="0"/>
              <a:cs typeface="Times New Roman" panose="02020603050405020304" pitchFamily="18" charset="0"/>
            </a:rPr>
            <a:t> Lead-Time measured in periods.</a:t>
          </a:r>
          <a:endParaRPr lang="en-US" sz="1200" b="1">
            <a:latin typeface="Times New Roman" panose="02020603050405020304" pitchFamily="18" charset="0"/>
            <a:cs typeface="Times New Roman" panose="02020603050405020304" pitchFamily="18" charset="0"/>
          </a:endParaRPr>
        </a:p>
      </xdr:txBody>
    </xdr:sp>
    <xdr:clientData/>
  </xdr:oneCellAnchor>
  <xdr:twoCellAnchor>
    <xdr:from>
      <xdr:col>5</xdr:col>
      <xdr:colOff>654050</xdr:colOff>
      <xdr:row>78</xdr:row>
      <xdr:rowOff>19050</xdr:rowOff>
    </xdr:from>
    <xdr:to>
      <xdr:col>11</xdr:col>
      <xdr:colOff>6350</xdr:colOff>
      <xdr:row>84</xdr:row>
      <xdr:rowOff>0</xdr:rowOff>
    </xdr:to>
    <xdr:sp macro="" textlink="">
      <xdr:nvSpPr>
        <xdr:cNvPr id="8" name="TextBox 7">
          <a:extLst>
            <a:ext uri="{FF2B5EF4-FFF2-40B4-BE49-F238E27FC236}">
              <a16:creationId xmlns:a16="http://schemas.microsoft.com/office/drawing/2014/main" id="{0C53C07C-218F-3E54-64A0-2964FF07314C}"/>
            </a:ext>
          </a:extLst>
        </xdr:cNvPr>
        <xdr:cNvSpPr txBox="1"/>
      </xdr:nvSpPr>
      <xdr:spPr>
        <a:xfrm>
          <a:off x="6572250" y="14465300"/>
          <a:ext cx="4705350" cy="10858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Times New Roman" panose="02020603050405020304" pitchFamily="18" charset="0"/>
              <a:cs typeface="Times New Roman" panose="02020603050405020304" pitchFamily="18" charset="0"/>
            </a:rPr>
            <a:t>• Demand and Lead-Time are independent</a:t>
          </a:r>
        </a:p>
        <a:p>
          <a:pPr algn="ctr"/>
          <a:endParaRPr lang="en-US" sz="1200" b="1">
            <a:latin typeface="Times New Roman" panose="02020603050405020304" pitchFamily="18" charset="0"/>
            <a:cs typeface="Times New Roman" panose="02020603050405020304" pitchFamily="18" charset="0"/>
          </a:endParaRPr>
        </a:p>
        <a:p>
          <a:pPr algn="ctr"/>
          <a:r>
            <a:rPr lang="en-US" sz="1200" b="1">
              <a:latin typeface="Times New Roman" panose="02020603050405020304" pitchFamily="18" charset="0"/>
              <a:cs typeface="Times New Roman" panose="02020603050405020304" pitchFamily="18" charset="0"/>
            </a:rPr>
            <a:t>• Demand is stationary over the planning horizon</a:t>
          </a:r>
        </a:p>
        <a:p>
          <a:pPr algn="ctr"/>
          <a:endParaRPr lang="en-US" sz="1200" b="1">
            <a:latin typeface="Times New Roman" panose="02020603050405020304" pitchFamily="18" charset="0"/>
            <a:cs typeface="Times New Roman" panose="02020603050405020304" pitchFamily="18" charset="0"/>
          </a:endParaRPr>
        </a:p>
        <a:p>
          <a:pPr algn="ctr"/>
          <a:r>
            <a:rPr lang="en-US" sz="1200" b="1">
              <a:latin typeface="Times New Roman" panose="02020603050405020304" pitchFamily="18" charset="0"/>
              <a:cs typeface="Times New Roman" panose="02020603050405020304" pitchFamily="18" charset="0"/>
            </a:rPr>
            <a:t>• Service level applies to cycle service level</a:t>
          </a:r>
        </a:p>
        <a:p>
          <a:pPr algn="l"/>
          <a:endParaRPr lang="en-US" sz="1200">
            <a:latin typeface="Times New Roman" panose="02020603050405020304" pitchFamily="18" charset="0"/>
            <a:cs typeface="Times New Roman" panose="02020603050405020304" pitchFamily="18" charset="0"/>
          </a:endParaRPr>
        </a:p>
      </xdr:txBody>
    </xdr:sp>
    <xdr:clientData/>
  </xdr:twoCellAnchor>
  <xdr:twoCellAnchor>
    <xdr:from>
      <xdr:col>0</xdr:col>
      <xdr:colOff>12700</xdr:colOff>
      <xdr:row>40</xdr:row>
      <xdr:rowOff>19050</xdr:rowOff>
    </xdr:from>
    <xdr:to>
      <xdr:col>2</xdr:col>
      <xdr:colOff>19050</xdr:colOff>
      <xdr:row>44</xdr:row>
      <xdr:rowOff>171450</xdr:rowOff>
    </xdr:to>
    <xdr:sp macro="" textlink="">
      <xdr:nvSpPr>
        <xdr:cNvPr id="10" name="TextBox 9">
          <a:extLst>
            <a:ext uri="{FF2B5EF4-FFF2-40B4-BE49-F238E27FC236}">
              <a16:creationId xmlns:a16="http://schemas.microsoft.com/office/drawing/2014/main" id="{851803CF-D9AE-7A6F-87CF-0C328138B13A}"/>
            </a:ext>
          </a:extLst>
        </xdr:cNvPr>
        <xdr:cNvSpPr txBox="1"/>
      </xdr:nvSpPr>
      <xdr:spPr>
        <a:xfrm>
          <a:off x="12700" y="7467600"/>
          <a:ext cx="2768600" cy="8890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Times New Roman" panose="02020603050405020304" pitchFamily="18" charset="0"/>
              <a:cs typeface="Times New Roman" panose="02020603050405020304" pitchFamily="18" charset="0"/>
            </a:rPr>
            <a:t>Combined Standard</a:t>
          </a:r>
          <a:r>
            <a:rPr lang="en-US" sz="1200" baseline="0">
              <a:latin typeface="Times New Roman" panose="02020603050405020304" pitchFamily="18" charset="0"/>
              <a:cs typeface="Times New Roman" panose="02020603050405020304" pitchFamily="18" charset="0"/>
            </a:rPr>
            <a:t> Deviation accounting for Demand and Lead-Time variability.</a:t>
          </a:r>
        </a:p>
        <a:p>
          <a:endParaRPr lang="en-US" sz="1200">
            <a:latin typeface="Times New Roman" panose="02020603050405020304" pitchFamily="18" charset="0"/>
            <a:cs typeface="Times New Roman" panose="02020603050405020304" pitchFamily="18" charset="0"/>
          </a:endParaRPr>
        </a:p>
        <a:p>
          <a:pPr algn="ctr"/>
          <a:r>
            <a:rPr lang="en-US" sz="1400" b="1">
              <a:latin typeface="Times New Roman" panose="02020603050405020304" pitchFamily="18" charset="0"/>
              <a:cs typeface="Times New Roman" panose="02020603050405020304" pitchFamily="18" charset="0"/>
            </a:rPr>
            <a:t>Sc = √(t × Sd² + d² × St²)</a:t>
          </a:r>
        </a:p>
        <a:p>
          <a:endParaRPr lang="en-US" sz="1100"/>
        </a:p>
      </xdr:txBody>
    </xdr:sp>
    <xdr:clientData/>
  </xdr:twoCellAnchor>
  <xdr:twoCellAnchor>
    <xdr:from>
      <xdr:col>0</xdr:col>
      <xdr:colOff>19050</xdr:colOff>
      <xdr:row>49</xdr:row>
      <xdr:rowOff>38100</xdr:rowOff>
    </xdr:from>
    <xdr:to>
      <xdr:col>1</xdr:col>
      <xdr:colOff>12699</xdr:colOff>
      <xdr:row>50</xdr:row>
      <xdr:rowOff>171450</xdr:rowOff>
    </xdr:to>
    <xdr:sp macro="" textlink="">
      <xdr:nvSpPr>
        <xdr:cNvPr id="16" name="TextBox 15">
          <a:extLst>
            <a:ext uri="{FF2B5EF4-FFF2-40B4-BE49-F238E27FC236}">
              <a16:creationId xmlns:a16="http://schemas.microsoft.com/office/drawing/2014/main" id="{E59F9542-254F-0279-D915-A1ED5A768213}"/>
            </a:ext>
          </a:extLst>
        </xdr:cNvPr>
        <xdr:cNvSpPr txBox="1"/>
      </xdr:nvSpPr>
      <xdr:spPr>
        <a:xfrm>
          <a:off x="19050" y="9144000"/>
          <a:ext cx="2089149" cy="3175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Times New Roman" panose="02020603050405020304" pitchFamily="18" charset="0"/>
              <a:cs typeface="Times New Roman" panose="02020603050405020304" pitchFamily="18" charset="0"/>
            </a:rPr>
            <a:t>SS = k × Sc</a:t>
          </a:r>
        </a:p>
        <a:p>
          <a:endParaRPr lang="en-US" sz="1100"/>
        </a:p>
      </xdr:txBody>
    </xdr:sp>
    <xdr:clientData/>
  </xdr:twoCellAnchor>
  <xdr:twoCellAnchor>
    <xdr:from>
      <xdr:col>1</xdr:col>
      <xdr:colOff>6350</xdr:colOff>
      <xdr:row>54</xdr:row>
      <xdr:rowOff>25400</xdr:rowOff>
    </xdr:from>
    <xdr:to>
      <xdr:col>10</xdr:col>
      <xdr:colOff>1104900</xdr:colOff>
      <xdr:row>69</xdr:row>
      <xdr:rowOff>6350</xdr:rowOff>
    </xdr:to>
    <xdr:graphicFrame macro="">
      <xdr:nvGraphicFramePr>
        <xdr:cNvPr id="18" name="Chart 17">
          <a:extLst>
            <a:ext uri="{FF2B5EF4-FFF2-40B4-BE49-F238E27FC236}">
              <a16:creationId xmlns:a16="http://schemas.microsoft.com/office/drawing/2014/main" id="{56BE8298-7D3A-CE9C-DD97-36937AAAC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596900</xdr:colOff>
      <xdr:row>76</xdr:row>
      <xdr:rowOff>12700</xdr:rowOff>
    </xdr:from>
    <xdr:to>
      <xdr:col>5</xdr:col>
      <xdr:colOff>0</xdr:colOff>
      <xdr:row>82</xdr:row>
      <xdr:rowOff>158750</xdr:rowOff>
    </xdr:to>
    <xdr:sp macro="" textlink="">
      <xdr:nvSpPr>
        <xdr:cNvPr id="19" name="TextBox 18">
          <a:extLst>
            <a:ext uri="{FF2B5EF4-FFF2-40B4-BE49-F238E27FC236}">
              <a16:creationId xmlns:a16="http://schemas.microsoft.com/office/drawing/2014/main" id="{E2C894C9-ED51-BC53-C8E3-8A6F92629E87}"/>
            </a:ext>
          </a:extLst>
        </xdr:cNvPr>
        <xdr:cNvSpPr txBox="1"/>
      </xdr:nvSpPr>
      <xdr:spPr>
        <a:xfrm>
          <a:off x="596900" y="14090650"/>
          <a:ext cx="5321300" cy="12509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Times New Roman" panose="02020603050405020304" pitchFamily="18" charset="0"/>
              <a:cs typeface="Times New Roman" panose="02020603050405020304" pitchFamily="18" charset="0"/>
            </a:rPr>
            <a:t>Service Level Assumption:</a:t>
          </a:r>
          <a:br>
            <a:rPr lang="en-US" sz="1200">
              <a:latin typeface="Times New Roman" panose="02020603050405020304" pitchFamily="18" charset="0"/>
              <a:cs typeface="Times New Roman" panose="02020603050405020304" pitchFamily="18" charset="0"/>
            </a:rPr>
          </a:br>
          <a:r>
            <a:rPr lang="en-US" sz="1200">
              <a:latin typeface="Times New Roman" panose="02020603050405020304" pitchFamily="18" charset="0"/>
              <a:cs typeface="Times New Roman" panose="02020603050405020304" pitchFamily="18" charset="0"/>
            </a:rPr>
            <a:t>Service level targets vary by product based on relative demand and lead-time risk. Safety stock and all downstream values (including the chart) are dynamically calculated from the selected service level (k). Adjusting the service level percentage will automatically update safety stock requirements and visual outputs.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1060450</xdr:colOff>
      <xdr:row>7</xdr:row>
      <xdr:rowOff>50800</xdr:rowOff>
    </xdr:from>
    <xdr:to>
      <xdr:col>4</xdr:col>
      <xdr:colOff>489132</xdr:colOff>
      <xdr:row>8</xdr:row>
      <xdr:rowOff>139714</xdr:rowOff>
    </xdr:to>
    <xdr:pic>
      <xdr:nvPicPr>
        <xdr:cNvPr id="3" name="Picture 2">
          <a:extLst>
            <a:ext uri="{FF2B5EF4-FFF2-40B4-BE49-F238E27FC236}">
              <a16:creationId xmlns:a16="http://schemas.microsoft.com/office/drawing/2014/main" id="{D3682CA9-D6E1-1BCB-94C6-DCCBD74EC5B9}"/>
            </a:ext>
          </a:extLst>
        </xdr:cNvPr>
        <xdr:cNvPicPr>
          <a:picLocks noChangeAspect="1"/>
        </xdr:cNvPicPr>
      </xdr:nvPicPr>
      <xdr:blipFill>
        <a:blip xmlns:r="http://schemas.openxmlformats.org/officeDocument/2006/relationships" r:embed="rId1">
          <a:duotone>
            <a:prstClr val="black"/>
            <a:schemeClr val="accent1">
              <a:tint val="45000"/>
              <a:satMod val="400000"/>
            </a:schemeClr>
          </a:duotone>
        </a:blip>
        <a:stretch>
          <a:fillRect/>
        </a:stretch>
      </xdr:blipFill>
      <xdr:spPr>
        <a:xfrm>
          <a:off x="1060450" y="1416050"/>
          <a:ext cx="3549832" cy="273064"/>
        </a:xfrm>
        <a:prstGeom prst="rect">
          <a:avLst/>
        </a:prstGeom>
        <a:noFill/>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C9EB4-089A-4467-BE6F-D25096688D4B}">
  <dimension ref="A1:J48"/>
  <sheetViews>
    <sheetView tabSelected="1" workbookViewId="0">
      <selection activeCell="B47" sqref="B47"/>
    </sheetView>
  </sheetViews>
  <sheetFormatPr defaultRowHeight="14.5" x14ac:dyDescent="0.35"/>
  <cols>
    <col min="1" max="1" width="30.26953125" bestFit="1" customWidth="1"/>
    <col min="2" max="3" width="9.54296875" bestFit="1" customWidth="1"/>
    <col min="4" max="4" width="10.81640625" bestFit="1" customWidth="1"/>
    <col min="5" max="5" width="9.54296875" bestFit="1" customWidth="1"/>
    <col min="6" max="6" width="13" customWidth="1"/>
    <col min="7" max="7" width="7" bestFit="1" customWidth="1"/>
    <col min="8" max="8" width="16" bestFit="1" customWidth="1"/>
    <col min="9" max="9" width="9.54296875" bestFit="1" customWidth="1"/>
    <col min="10" max="10" width="16" bestFit="1" customWidth="1"/>
  </cols>
  <sheetData>
    <row r="1" spans="1:8" ht="20" x14ac:dyDescent="0.4">
      <c r="A1" s="13" t="s">
        <v>0</v>
      </c>
      <c r="B1" s="14"/>
      <c r="C1" s="14"/>
      <c r="D1" s="14"/>
      <c r="E1" s="14"/>
      <c r="F1" s="14"/>
      <c r="G1" s="14"/>
      <c r="H1" s="12"/>
    </row>
    <row r="2" spans="1:8" s="2" customFormat="1" ht="14" x14ac:dyDescent="0.3">
      <c r="A2" s="3"/>
      <c r="B2" s="15" t="s">
        <v>1</v>
      </c>
      <c r="C2" s="15" t="s">
        <v>2</v>
      </c>
      <c r="D2" s="15" t="s">
        <v>3</v>
      </c>
      <c r="E2" s="15" t="s">
        <v>4</v>
      </c>
      <c r="F2" s="15" t="s">
        <v>5</v>
      </c>
    </row>
    <row r="3" spans="1:8" x14ac:dyDescent="0.35">
      <c r="A3" s="2" t="s">
        <v>6</v>
      </c>
      <c r="B3" s="4">
        <v>75000</v>
      </c>
      <c r="C3" s="4">
        <v>10000</v>
      </c>
      <c r="D3" s="4">
        <v>20000</v>
      </c>
      <c r="E3" s="4">
        <v>45000</v>
      </c>
      <c r="F3" s="4">
        <v>100000</v>
      </c>
    </row>
    <row r="4" spans="1:8" x14ac:dyDescent="0.35">
      <c r="A4" s="2" t="s">
        <v>7</v>
      </c>
      <c r="B4" s="5">
        <v>20</v>
      </c>
      <c r="C4" s="5">
        <v>50</v>
      </c>
      <c r="D4" s="6">
        <v>8000</v>
      </c>
      <c r="E4" s="5">
        <v>4</v>
      </c>
      <c r="F4" s="7">
        <v>62.5</v>
      </c>
    </row>
    <row r="5" spans="1:8" x14ac:dyDescent="0.35">
      <c r="A5" s="2" t="s">
        <v>8</v>
      </c>
      <c r="B5" s="5">
        <v>30</v>
      </c>
      <c r="C5" s="5">
        <v>80</v>
      </c>
      <c r="D5" s="5">
        <v>300</v>
      </c>
      <c r="E5" s="5">
        <v>40</v>
      </c>
      <c r="F5" s="5">
        <v>200</v>
      </c>
    </row>
    <row r="6" spans="1:8" x14ac:dyDescent="0.35">
      <c r="A6" s="2" t="s">
        <v>9</v>
      </c>
      <c r="B6" s="8">
        <v>0.22500000000000001</v>
      </c>
      <c r="C6" s="9">
        <v>0.2</v>
      </c>
      <c r="D6" s="9">
        <v>0.15</v>
      </c>
      <c r="E6" s="8">
        <v>0.22500000000000001</v>
      </c>
      <c r="F6" s="9">
        <v>0.25</v>
      </c>
    </row>
    <row r="7" spans="1:8" x14ac:dyDescent="0.35">
      <c r="B7" s="3"/>
      <c r="C7" s="3"/>
      <c r="D7" s="3"/>
      <c r="E7" s="3"/>
      <c r="F7" s="3"/>
    </row>
    <row r="8" spans="1:8" x14ac:dyDescent="0.35">
      <c r="A8" s="2" t="s">
        <v>10</v>
      </c>
      <c r="B8" s="10">
        <f>B4*B6</f>
        <v>4.5</v>
      </c>
      <c r="C8" s="10">
        <f t="shared" ref="C8:F8" si="0">C4*C6</f>
        <v>10</v>
      </c>
      <c r="D8" s="10">
        <f t="shared" si="0"/>
        <v>1200</v>
      </c>
      <c r="E8" s="10">
        <f t="shared" si="0"/>
        <v>0.9</v>
      </c>
      <c r="F8" s="10">
        <f t="shared" si="0"/>
        <v>15.625</v>
      </c>
      <c r="G8" s="25" t="s">
        <v>11</v>
      </c>
    </row>
    <row r="9" spans="1:8" ht="23.5" customHeight="1" x14ac:dyDescent="0.35">
      <c r="A9" s="2" t="s">
        <v>12</v>
      </c>
      <c r="B9" s="2">
        <f>SQRT((2*B5*B3)/B8)</f>
        <v>1000</v>
      </c>
      <c r="C9" s="2">
        <f t="shared" ref="C9:F9" si="1">SQRT((2*C5*C3)/C8)</f>
        <v>400</v>
      </c>
      <c r="D9" s="2">
        <f t="shared" si="1"/>
        <v>100</v>
      </c>
      <c r="E9" s="2">
        <f t="shared" si="1"/>
        <v>2000</v>
      </c>
      <c r="F9" s="2">
        <f t="shared" si="1"/>
        <v>1600</v>
      </c>
      <c r="G9" s="16"/>
    </row>
    <row r="10" spans="1:8" ht="28" customHeight="1" x14ac:dyDescent="0.35">
      <c r="A10" s="2" t="s">
        <v>13</v>
      </c>
      <c r="B10" s="11">
        <f>(B5*B3)/B9</f>
        <v>2250</v>
      </c>
      <c r="C10" s="11">
        <f t="shared" ref="C10:F10" si="2">(C5*C3)/C9</f>
        <v>2000</v>
      </c>
      <c r="D10" s="11">
        <f t="shared" si="2"/>
        <v>60000</v>
      </c>
      <c r="E10" s="11">
        <f t="shared" si="2"/>
        <v>900</v>
      </c>
      <c r="F10" s="11">
        <f t="shared" si="2"/>
        <v>12500</v>
      </c>
      <c r="G10" s="16"/>
    </row>
    <row r="11" spans="1:8" ht="28.5" customHeight="1" x14ac:dyDescent="0.35">
      <c r="A11" s="2" t="s">
        <v>14</v>
      </c>
      <c r="B11" s="11">
        <f>(B8*B9)/2</f>
        <v>2250</v>
      </c>
      <c r="C11" s="11">
        <f t="shared" ref="C11:F11" si="3">(C8*C9)/2</f>
        <v>2000</v>
      </c>
      <c r="D11" s="11">
        <f t="shared" si="3"/>
        <v>60000</v>
      </c>
      <c r="E11" s="11">
        <f t="shared" si="3"/>
        <v>900</v>
      </c>
      <c r="F11" s="11">
        <f t="shared" si="3"/>
        <v>12500</v>
      </c>
      <c r="G11" s="16"/>
    </row>
    <row r="12" spans="1:8" ht="16" customHeight="1" x14ac:dyDescent="0.35">
      <c r="A12" s="2" t="s">
        <v>15</v>
      </c>
      <c r="B12" s="11">
        <f>B10+B11</f>
        <v>4500</v>
      </c>
      <c r="C12" s="11">
        <f t="shared" ref="C12:F12" si="4">C10+C11</f>
        <v>4000</v>
      </c>
      <c r="D12" s="11">
        <f t="shared" si="4"/>
        <v>120000</v>
      </c>
      <c r="E12" s="11">
        <f t="shared" si="4"/>
        <v>1800</v>
      </c>
      <c r="F12" s="11">
        <f t="shared" si="4"/>
        <v>25000</v>
      </c>
    </row>
    <row r="17" spans="1:10" x14ac:dyDescent="0.35">
      <c r="A17" s="2"/>
      <c r="C17" s="2"/>
      <c r="E17" s="2"/>
      <c r="G17" s="2"/>
      <c r="I17" s="2"/>
    </row>
    <row r="18" spans="1:10" x14ac:dyDescent="0.35">
      <c r="A18" s="2"/>
      <c r="B18" s="2"/>
      <c r="C18" s="2"/>
      <c r="D18" s="2"/>
      <c r="E18" s="2"/>
      <c r="F18" s="2"/>
      <c r="G18" s="2"/>
      <c r="H18" s="2"/>
      <c r="I18" s="2"/>
      <c r="J18" s="2"/>
    </row>
    <row r="19" spans="1:10" x14ac:dyDescent="0.35">
      <c r="A19" s="3"/>
      <c r="B19" s="3"/>
      <c r="C19" s="3"/>
      <c r="D19" s="3"/>
      <c r="E19" s="3"/>
      <c r="F19" s="3"/>
      <c r="G19" s="3"/>
      <c r="H19" s="3"/>
      <c r="I19" s="3"/>
      <c r="J19" s="3"/>
    </row>
    <row r="20" spans="1:10" x14ac:dyDescent="0.35">
      <c r="A20" s="3"/>
      <c r="B20" s="3"/>
      <c r="C20" s="3"/>
      <c r="D20" s="3"/>
      <c r="E20" s="3"/>
      <c r="F20" s="3"/>
      <c r="G20" s="3"/>
      <c r="H20" s="3"/>
      <c r="I20" s="3"/>
      <c r="J20" s="3"/>
    </row>
    <row r="21" spans="1:10" x14ac:dyDescent="0.35">
      <c r="A21" s="3"/>
      <c r="B21" s="3"/>
      <c r="C21" s="3"/>
      <c r="D21" s="3"/>
      <c r="E21" s="3"/>
      <c r="F21" s="3"/>
      <c r="G21" s="3"/>
      <c r="H21" s="3"/>
      <c r="I21" s="3"/>
      <c r="J21" s="3"/>
    </row>
    <row r="22" spans="1:10" x14ac:dyDescent="0.35">
      <c r="A22" s="3"/>
      <c r="B22" s="3"/>
      <c r="C22" s="3"/>
      <c r="D22" s="3"/>
      <c r="E22" s="3"/>
      <c r="F22" s="3"/>
      <c r="G22" s="3"/>
      <c r="H22" s="3"/>
      <c r="I22" s="3"/>
      <c r="J22" s="3"/>
    </row>
    <row r="23" spans="1:10" x14ac:dyDescent="0.35">
      <c r="A23" s="3"/>
      <c r="B23" s="3"/>
      <c r="C23" s="3"/>
      <c r="D23" s="3"/>
      <c r="E23" s="3"/>
      <c r="F23" s="3"/>
      <c r="G23" s="3"/>
      <c r="H23" s="3"/>
      <c r="I23" s="3"/>
      <c r="J23" s="3"/>
    </row>
    <row r="24" spans="1:10" x14ac:dyDescent="0.35">
      <c r="A24" s="3"/>
      <c r="B24" s="3"/>
      <c r="C24" s="3"/>
      <c r="D24" s="3"/>
      <c r="E24" s="3"/>
      <c r="F24" s="3"/>
      <c r="G24" s="3"/>
      <c r="H24" s="3"/>
      <c r="I24" s="3"/>
      <c r="J24" s="3"/>
    </row>
    <row r="25" spans="1:10" x14ac:dyDescent="0.35">
      <c r="A25" s="3"/>
      <c r="B25" s="3"/>
      <c r="C25" s="3"/>
      <c r="D25" s="3"/>
      <c r="E25" s="3"/>
      <c r="F25" s="3"/>
      <c r="G25" s="3"/>
      <c r="H25" s="3"/>
      <c r="I25" s="3"/>
      <c r="J25" s="3"/>
    </row>
    <row r="26" spans="1:10" x14ac:dyDescent="0.35">
      <c r="A26" s="3"/>
      <c r="B26" s="3"/>
      <c r="C26" s="3"/>
      <c r="D26" s="3"/>
      <c r="E26" s="3"/>
      <c r="F26" s="3"/>
      <c r="G26" s="3"/>
      <c r="H26" s="3"/>
      <c r="I26" s="3"/>
      <c r="J26" s="3"/>
    </row>
    <row r="27" spans="1:10" x14ac:dyDescent="0.35">
      <c r="A27" s="3"/>
      <c r="B27" s="3"/>
      <c r="C27" s="3"/>
      <c r="D27" s="3"/>
      <c r="E27" s="3"/>
      <c r="F27" s="3"/>
      <c r="G27" s="3"/>
      <c r="H27" s="3"/>
      <c r="I27" s="3"/>
      <c r="J27" s="3"/>
    </row>
    <row r="28" spans="1:10" x14ac:dyDescent="0.35">
      <c r="A28" s="3"/>
      <c r="B28" s="3"/>
      <c r="C28" s="3"/>
      <c r="D28" s="3"/>
      <c r="E28" s="3"/>
      <c r="F28" s="3"/>
      <c r="G28" s="3"/>
      <c r="H28" s="3"/>
      <c r="I28" s="3"/>
      <c r="J28" s="3"/>
    </row>
    <row r="29" spans="1:10" x14ac:dyDescent="0.35">
      <c r="A29" s="3"/>
      <c r="B29" s="3"/>
      <c r="C29" s="3"/>
      <c r="D29" s="3"/>
      <c r="E29" s="3"/>
      <c r="F29" s="3"/>
      <c r="G29" s="3"/>
      <c r="H29" s="3"/>
      <c r="I29" s="3"/>
      <c r="J29" s="3"/>
    </row>
    <row r="30" spans="1:10" x14ac:dyDescent="0.35">
      <c r="A30" s="3"/>
      <c r="B30" s="3"/>
      <c r="C30" s="3"/>
      <c r="D30" s="3"/>
      <c r="E30" s="3"/>
      <c r="F30" s="3"/>
      <c r="G30" s="3"/>
      <c r="H30" s="3"/>
      <c r="I30" s="3"/>
      <c r="J30" s="3"/>
    </row>
    <row r="31" spans="1:10" x14ac:dyDescent="0.35">
      <c r="A31" s="3"/>
      <c r="B31" s="3"/>
      <c r="C31" s="3"/>
      <c r="D31" s="3"/>
      <c r="E31" s="3"/>
      <c r="F31" s="3"/>
      <c r="G31" s="3"/>
      <c r="H31" s="3"/>
      <c r="I31" s="3"/>
      <c r="J31" s="3"/>
    </row>
    <row r="32" spans="1:10" x14ac:dyDescent="0.35">
      <c r="A32" s="3"/>
      <c r="B32" s="3"/>
      <c r="C32" s="3"/>
      <c r="D32" s="3"/>
      <c r="E32" s="3"/>
      <c r="F32" s="3"/>
      <c r="G32" s="3"/>
      <c r="H32" s="3"/>
      <c r="I32" s="3"/>
      <c r="J32" s="3"/>
    </row>
    <row r="33" spans="1:10" x14ac:dyDescent="0.35">
      <c r="A33" s="3"/>
      <c r="B33" s="3"/>
      <c r="C33" s="3"/>
      <c r="D33" s="3"/>
      <c r="E33" s="3"/>
      <c r="F33" s="3"/>
      <c r="G33" s="3"/>
      <c r="H33" s="3"/>
      <c r="I33" s="3"/>
      <c r="J33" s="3"/>
    </row>
    <row r="34" spans="1:10" x14ac:dyDescent="0.35">
      <c r="A34" s="3"/>
      <c r="B34" s="3"/>
      <c r="C34" s="3"/>
      <c r="D34" s="3"/>
      <c r="E34" s="3"/>
      <c r="F34" s="3"/>
      <c r="G34" s="3"/>
      <c r="H34" s="3"/>
      <c r="I34" s="3"/>
      <c r="J34" s="3"/>
    </row>
    <row r="35" spans="1:10" x14ac:dyDescent="0.35">
      <c r="A35" s="3"/>
      <c r="B35" s="3"/>
      <c r="C35" s="3"/>
      <c r="D35" s="3"/>
      <c r="E35" s="3"/>
      <c r="F35" s="3"/>
      <c r="G35" s="3"/>
      <c r="H35" s="3"/>
      <c r="I35" s="3"/>
      <c r="J35" s="3"/>
    </row>
    <row r="36" spans="1:10" x14ac:dyDescent="0.35">
      <c r="A36" s="3"/>
      <c r="B36" s="3"/>
      <c r="C36" s="3"/>
      <c r="D36" s="3"/>
      <c r="E36" s="3"/>
      <c r="F36" s="3"/>
      <c r="G36" s="3"/>
      <c r="H36" s="3"/>
      <c r="I36" s="3"/>
      <c r="J36" s="3"/>
    </row>
    <row r="37" spans="1:10" x14ac:dyDescent="0.35">
      <c r="A37" s="3"/>
      <c r="B37" s="3"/>
      <c r="C37" s="3"/>
      <c r="D37" s="3"/>
      <c r="E37" s="3"/>
      <c r="F37" s="3"/>
      <c r="G37" s="3"/>
      <c r="H37" s="3"/>
      <c r="I37" s="3"/>
      <c r="J37" s="3"/>
    </row>
    <row r="38" spans="1:10" x14ac:dyDescent="0.35">
      <c r="A38" s="3"/>
      <c r="B38" s="3"/>
      <c r="C38" s="3"/>
      <c r="D38" s="3"/>
      <c r="E38" s="3"/>
      <c r="F38" s="3"/>
      <c r="G38" s="3"/>
      <c r="H38" s="3"/>
      <c r="I38" s="3"/>
      <c r="J38" s="3"/>
    </row>
    <row r="39" spans="1:10" x14ac:dyDescent="0.35">
      <c r="A39" s="3"/>
      <c r="B39" s="3"/>
      <c r="C39" s="3"/>
      <c r="D39" s="3"/>
      <c r="E39" s="3"/>
      <c r="F39" s="3"/>
      <c r="G39" s="3"/>
      <c r="H39" s="3"/>
      <c r="I39" s="3"/>
      <c r="J39" s="3"/>
    </row>
    <row r="40" spans="1:10" x14ac:dyDescent="0.35">
      <c r="A40" s="3"/>
      <c r="B40" s="3"/>
      <c r="C40" s="3"/>
      <c r="D40" s="3"/>
      <c r="E40" s="3"/>
      <c r="F40" s="3"/>
      <c r="G40" s="3"/>
      <c r="H40" s="3"/>
      <c r="I40" s="3"/>
      <c r="J40" s="3"/>
    </row>
    <row r="41" spans="1:10" x14ac:dyDescent="0.35">
      <c r="A41" s="3"/>
      <c r="B41" s="3"/>
      <c r="C41" s="3"/>
      <c r="D41" s="3"/>
      <c r="E41" s="3"/>
      <c r="F41" s="3"/>
      <c r="G41" s="3"/>
      <c r="H41" s="3"/>
      <c r="I41" s="3"/>
      <c r="J41" s="3"/>
    </row>
    <row r="42" spans="1:10" x14ac:dyDescent="0.35">
      <c r="A42" s="3"/>
      <c r="B42" s="3"/>
      <c r="C42" s="3"/>
      <c r="D42" s="3"/>
      <c r="E42" s="3"/>
      <c r="F42" s="3"/>
      <c r="G42" s="3"/>
      <c r="H42" s="3"/>
      <c r="I42" s="3"/>
      <c r="J42" s="3"/>
    </row>
    <row r="43" spans="1:10" x14ac:dyDescent="0.35">
      <c r="A43" s="3"/>
      <c r="B43" s="3"/>
      <c r="C43" s="3"/>
      <c r="D43" s="3"/>
      <c r="E43" s="3"/>
      <c r="F43" s="3"/>
      <c r="G43" s="3"/>
      <c r="H43" s="3"/>
      <c r="I43" s="3"/>
      <c r="J43" s="3"/>
    </row>
    <row r="44" spans="1:10" x14ac:dyDescent="0.35">
      <c r="A44" s="3"/>
      <c r="B44" s="3"/>
      <c r="C44" s="3"/>
      <c r="D44" s="3"/>
      <c r="E44" s="3"/>
      <c r="F44" s="3"/>
      <c r="G44" s="3"/>
      <c r="H44" s="3"/>
      <c r="I44" s="3"/>
      <c r="J44" s="3"/>
    </row>
    <row r="45" spans="1:10" x14ac:dyDescent="0.35">
      <c r="A45" s="3"/>
      <c r="B45" s="3"/>
      <c r="C45" s="3"/>
      <c r="D45" s="3"/>
      <c r="E45" s="3"/>
      <c r="F45" s="3"/>
      <c r="G45" s="3"/>
      <c r="H45" s="3"/>
      <c r="I45" s="3"/>
      <c r="J45" s="3"/>
    </row>
    <row r="46" spans="1:10" x14ac:dyDescent="0.35">
      <c r="A46" s="3"/>
      <c r="B46" s="3"/>
      <c r="C46" s="3"/>
      <c r="D46" s="3"/>
      <c r="E46" s="3"/>
      <c r="F46" s="3"/>
      <c r="G46" s="3"/>
      <c r="H46" s="3"/>
      <c r="I46" s="3"/>
      <c r="J46" s="3"/>
    </row>
    <row r="47" spans="1:10" x14ac:dyDescent="0.35">
      <c r="A47" s="3"/>
      <c r="B47" s="3"/>
      <c r="C47" s="3"/>
      <c r="D47" s="3"/>
      <c r="E47" s="3"/>
      <c r="F47" s="3"/>
      <c r="G47" s="3"/>
      <c r="H47" s="3"/>
      <c r="I47" s="3"/>
      <c r="J47" s="3"/>
    </row>
    <row r="48" spans="1:10" x14ac:dyDescent="0.35">
      <c r="A48" s="3"/>
      <c r="B48" s="3"/>
      <c r="C48" s="3"/>
      <c r="D48" s="3"/>
      <c r="E48" s="3"/>
      <c r="F48" s="3"/>
      <c r="G48" s="3"/>
      <c r="H48" s="3"/>
      <c r="I48" s="3"/>
      <c r="J48"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B9BC5-F03A-4B94-938B-49EA373C16E1}">
  <dimension ref="A1:K53"/>
  <sheetViews>
    <sheetView workbookViewId="0">
      <pane ySplit="3" topLeftCell="A4" activePane="bottomLeft" state="frozen"/>
      <selection pane="bottomLeft" activeCell="C86" sqref="C86"/>
    </sheetView>
  </sheetViews>
  <sheetFormatPr defaultRowHeight="14.5" x14ac:dyDescent="0.35"/>
  <cols>
    <col min="1" max="1" width="33.6328125" style="2" bestFit="1" customWidth="1"/>
    <col min="2" max="2" width="9.54296875" bestFit="1" customWidth="1"/>
    <col min="3" max="3" width="16" bestFit="1" customWidth="1"/>
    <col min="4" max="4" width="9.54296875" bestFit="1" customWidth="1"/>
    <col min="5" max="5" width="16" bestFit="1" customWidth="1"/>
    <col min="6" max="6" width="9.54296875" bestFit="1" customWidth="1"/>
    <col min="7" max="7" width="16" bestFit="1" customWidth="1"/>
    <col min="8" max="8" width="9.54296875" bestFit="1" customWidth="1"/>
    <col min="9" max="9" width="16" bestFit="1" customWidth="1"/>
    <col min="10" max="10" width="9.54296875" bestFit="1" customWidth="1"/>
    <col min="11" max="11" width="16" bestFit="1" customWidth="1"/>
  </cols>
  <sheetData>
    <row r="1" spans="1:11" ht="20" x14ac:dyDescent="0.4">
      <c r="A1" s="13" t="s">
        <v>16</v>
      </c>
      <c r="B1" s="14"/>
      <c r="C1" s="14"/>
      <c r="D1" s="14"/>
      <c r="E1" s="14"/>
      <c r="F1" s="14"/>
      <c r="G1" s="14"/>
      <c r="H1" s="14"/>
      <c r="I1" s="14"/>
      <c r="J1" s="14"/>
      <c r="K1" s="14"/>
    </row>
    <row r="2" spans="1:11" x14ac:dyDescent="0.35">
      <c r="A2" s="2" t="s">
        <v>17</v>
      </c>
      <c r="B2" s="2" t="s">
        <v>1</v>
      </c>
      <c r="D2" s="2" t="s">
        <v>2</v>
      </c>
      <c r="F2" s="2" t="s">
        <v>3</v>
      </c>
      <c r="H2" s="2" t="s">
        <v>4</v>
      </c>
      <c r="J2" s="2" t="s">
        <v>5</v>
      </c>
    </row>
    <row r="3" spans="1:11" x14ac:dyDescent="0.35">
      <c r="B3" s="2" t="s">
        <v>18</v>
      </c>
      <c r="C3" s="2" t="s">
        <v>19</v>
      </c>
      <c r="D3" s="2" t="s">
        <v>18</v>
      </c>
      <c r="E3" s="2" t="s">
        <v>19</v>
      </c>
      <c r="F3" s="2" t="s">
        <v>18</v>
      </c>
      <c r="G3" s="2" t="s">
        <v>19</v>
      </c>
      <c r="H3" s="2" t="s">
        <v>18</v>
      </c>
      <c r="I3" s="2" t="s">
        <v>19</v>
      </c>
      <c r="J3" s="2" t="s">
        <v>18</v>
      </c>
      <c r="K3" s="2" t="s">
        <v>19</v>
      </c>
    </row>
    <row r="4" spans="1:11" x14ac:dyDescent="0.35">
      <c r="A4" s="2">
        <v>1</v>
      </c>
      <c r="B4" s="3">
        <v>96</v>
      </c>
      <c r="C4" s="3">
        <v>3</v>
      </c>
      <c r="D4" s="3">
        <v>107</v>
      </c>
      <c r="E4" s="3">
        <v>4</v>
      </c>
      <c r="F4" s="3">
        <v>164</v>
      </c>
      <c r="G4" s="3">
        <v>7</v>
      </c>
      <c r="H4" s="3">
        <v>168</v>
      </c>
      <c r="I4" s="3">
        <v>8</v>
      </c>
      <c r="J4" s="3">
        <v>217</v>
      </c>
      <c r="K4" s="3">
        <v>11</v>
      </c>
    </row>
    <row r="5" spans="1:11" x14ac:dyDescent="0.35">
      <c r="A5" s="2">
        <v>2</v>
      </c>
      <c r="B5" s="3">
        <v>98</v>
      </c>
      <c r="C5" s="3">
        <v>3</v>
      </c>
      <c r="D5" s="3">
        <v>94</v>
      </c>
      <c r="E5" s="3">
        <v>4</v>
      </c>
      <c r="F5" s="3">
        <v>156</v>
      </c>
      <c r="G5" s="3">
        <v>7</v>
      </c>
      <c r="H5" s="3">
        <v>200</v>
      </c>
      <c r="I5" s="3">
        <v>9</v>
      </c>
      <c r="J5" s="3">
        <v>190</v>
      </c>
      <c r="K5" s="3">
        <v>11</v>
      </c>
    </row>
    <row r="6" spans="1:11" x14ac:dyDescent="0.35">
      <c r="A6" s="2">
        <v>3</v>
      </c>
      <c r="B6" s="3">
        <v>103</v>
      </c>
      <c r="C6" s="3">
        <v>3</v>
      </c>
      <c r="D6" s="3">
        <v>98</v>
      </c>
      <c r="E6" s="3">
        <v>4</v>
      </c>
      <c r="F6" s="3">
        <v>161</v>
      </c>
      <c r="G6" s="3">
        <v>7</v>
      </c>
      <c r="H6" s="3">
        <v>194</v>
      </c>
      <c r="I6" s="3">
        <v>10</v>
      </c>
      <c r="J6" s="3">
        <v>184</v>
      </c>
      <c r="K6" s="3">
        <v>11</v>
      </c>
    </row>
    <row r="7" spans="1:11" x14ac:dyDescent="0.35">
      <c r="A7" s="2">
        <v>4</v>
      </c>
      <c r="B7" s="3">
        <v>97</v>
      </c>
      <c r="C7" s="3">
        <v>2</v>
      </c>
      <c r="D7" s="3">
        <v>100</v>
      </c>
      <c r="E7" s="3">
        <v>4</v>
      </c>
      <c r="F7" s="3">
        <v>155</v>
      </c>
      <c r="G7" s="3">
        <v>6</v>
      </c>
      <c r="H7" s="3">
        <v>177</v>
      </c>
      <c r="I7" s="3">
        <v>8</v>
      </c>
      <c r="J7" s="3">
        <v>196</v>
      </c>
      <c r="K7" s="3">
        <v>12</v>
      </c>
    </row>
    <row r="8" spans="1:11" x14ac:dyDescent="0.35">
      <c r="A8" s="2">
        <v>5</v>
      </c>
      <c r="B8" s="3">
        <v>104</v>
      </c>
      <c r="C8" s="3">
        <v>3</v>
      </c>
      <c r="D8" s="3">
        <v>95</v>
      </c>
      <c r="E8" s="3">
        <v>4</v>
      </c>
      <c r="F8" s="3">
        <v>152</v>
      </c>
      <c r="G8" s="3">
        <v>8</v>
      </c>
      <c r="H8" s="3">
        <v>172</v>
      </c>
      <c r="I8" s="3">
        <v>8</v>
      </c>
      <c r="J8" s="3">
        <v>185</v>
      </c>
      <c r="K8" s="3">
        <v>13</v>
      </c>
    </row>
    <row r="9" spans="1:11" x14ac:dyDescent="0.35">
      <c r="A9" s="2">
        <v>6</v>
      </c>
      <c r="B9" s="3">
        <v>96</v>
      </c>
      <c r="C9" s="3">
        <v>3</v>
      </c>
      <c r="D9" s="3">
        <v>106</v>
      </c>
      <c r="E9" s="3">
        <v>4</v>
      </c>
      <c r="F9" s="3">
        <v>155</v>
      </c>
      <c r="G9" s="3">
        <v>7</v>
      </c>
      <c r="H9" s="3">
        <v>195</v>
      </c>
      <c r="I9" s="3">
        <v>8</v>
      </c>
      <c r="J9" s="3">
        <v>208</v>
      </c>
      <c r="K9" s="3">
        <v>11</v>
      </c>
    </row>
    <row r="10" spans="1:11" x14ac:dyDescent="0.35">
      <c r="A10" s="2">
        <v>7</v>
      </c>
      <c r="B10" s="3">
        <v>103</v>
      </c>
      <c r="C10" s="3">
        <v>2</v>
      </c>
      <c r="D10" s="3">
        <v>102</v>
      </c>
      <c r="E10" s="3">
        <v>5</v>
      </c>
      <c r="F10" s="3">
        <v>153</v>
      </c>
      <c r="G10" s="3">
        <v>8</v>
      </c>
      <c r="H10" s="3">
        <v>193</v>
      </c>
      <c r="I10" s="3">
        <v>9</v>
      </c>
      <c r="J10" s="3">
        <v>196</v>
      </c>
      <c r="K10" s="3">
        <v>10</v>
      </c>
    </row>
    <row r="11" spans="1:11" x14ac:dyDescent="0.35">
      <c r="A11" s="2">
        <v>8</v>
      </c>
      <c r="B11" s="3">
        <v>103</v>
      </c>
      <c r="C11" s="3">
        <v>2</v>
      </c>
      <c r="D11" s="3">
        <v>104</v>
      </c>
      <c r="E11" s="3">
        <v>4</v>
      </c>
      <c r="F11" s="3">
        <v>150</v>
      </c>
      <c r="G11" s="3">
        <v>6</v>
      </c>
      <c r="H11" s="3">
        <v>191</v>
      </c>
      <c r="I11" s="3">
        <v>10</v>
      </c>
      <c r="J11" s="3">
        <v>199</v>
      </c>
      <c r="K11" s="3">
        <v>10</v>
      </c>
    </row>
    <row r="12" spans="1:11" x14ac:dyDescent="0.35">
      <c r="A12" s="2">
        <v>9</v>
      </c>
      <c r="B12" s="3">
        <v>103</v>
      </c>
      <c r="C12" s="3">
        <v>3</v>
      </c>
      <c r="D12" s="3">
        <v>95</v>
      </c>
      <c r="E12" s="3">
        <v>5</v>
      </c>
      <c r="F12" s="3">
        <v>151</v>
      </c>
      <c r="G12" s="3">
        <v>7</v>
      </c>
      <c r="H12" s="3">
        <v>182</v>
      </c>
      <c r="I12" s="3">
        <v>9</v>
      </c>
      <c r="J12" s="3">
        <v>219</v>
      </c>
      <c r="K12" s="3">
        <v>13</v>
      </c>
    </row>
    <row r="13" spans="1:11" x14ac:dyDescent="0.35">
      <c r="A13" s="2">
        <v>10</v>
      </c>
      <c r="B13" s="3">
        <v>103</v>
      </c>
      <c r="C13" s="3">
        <v>2</v>
      </c>
      <c r="D13" s="3">
        <v>90</v>
      </c>
      <c r="E13" s="3">
        <v>5</v>
      </c>
      <c r="F13" s="3">
        <v>158</v>
      </c>
      <c r="G13" s="3">
        <v>7</v>
      </c>
      <c r="H13" s="3">
        <v>181</v>
      </c>
      <c r="I13" s="3">
        <v>9</v>
      </c>
      <c r="J13" s="3">
        <v>204</v>
      </c>
      <c r="K13" s="3">
        <v>12</v>
      </c>
    </row>
    <row r="14" spans="1:11" x14ac:dyDescent="0.35">
      <c r="A14" s="2">
        <v>11</v>
      </c>
      <c r="B14" s="3">
        <v>99</v>
      </c>
      <c r="C14" s="3">
        <v>3</v>
      </c>
      <c r="D14" s="3">
        <v>107</v>
      </c>
      <c r="E14" s="3">
        <v>4</v>
      </c>
      <c r="F14" s="3">
        <v>159</v>
      </c>
      <c r="G14" s="3">
        <v>7</v>
      </c>
      <c r="H14" s="3">
        <v>161</v>
      </c>
      <c r="I14" s="3">
        <v>10</v>
      </c>
      <c r="J14" s="3">
        <v>215</v>
      </c>
      <c r="K14" s="3">
        <v>11</v>
      </c>
    </row>
    <row r="15" spans="1:11" x14ac:dyDescent="0.35">
      <c r="A15" s="2">
        <v>12</v>
      </c>
      <c r="B15" s="3">
        <v>103</v>
      </c>
      <c r="C15" s="3">
        <v>2</v>
      </c>
      <c r="D15" s="3">
        <v>103</v>
      </c>
      <c r="E15" s="3">
        <v>4</v>
      </c>
      <c r="F15" s="3">
        <v>154</v>
      </c>
      <c r="G15" s="3">
        <v>8</v>
      </c>
      <c r="H15" s="3">
        <v>189</v>
      </c>
      <c r="I15" s="3">
        <v>8</v>
      </c>
      <c r="J15" s="3">
        <v>182</v>
      </c>
      <c r="K15" s="3">
        <v>12</v>
      </c>
    </row>
    <row r="16" spans="1:11" x14ac:dyDescent="0.35">
      <c r="A16" s="2">
        <v>13</v>
      </c>
      <c r="B16" s="3">
        <v>100</v>
      </c>
      <c r="C16" s="3">
        <v>2</v>
      </c>
      <c r="D16" s="3">
        <v>90</v>
      </c>
      <c r="E16" s="3">
        <v>4</v>
      </c>
      <c r="F16" s="3">
        <v>159</v>
      </c>
      <c r="G16" s="3">
        <v>8</v>
      </c>
      <c r="H16" s="3">
        <v>171</v>
      </c>
      <c r="I16" s="3">
        <v>8</v>
      </c>
      <c r="J16" s="3">
        <v>212</v>
      </c>
      <c r="K16" s="3">
        <v>12</v>
      </c>
    </row>
    <row r="17" spans="1:11" x14ac:dyDescent="0.35">
      <c r="A17" s="2">
        <v>14</v>
      </c>
      <c r="B17" s="3">
        <v>105</v>
      </c>
      <c r="C17" s="3">
        <v>3</v>
      </c>
      <c r="D17" s="3">
        <v>104</v>
      </c>
      <c r="E17" s="3">
        <v>5</v>
      </c>
      <c r="F17" s="3">
        <v>155</v>
      </c>
      <c r="G17" s="3">
        <v>6</v>
      </c>
      <c r="H17" s="3">
        <v>174</v>
      </c>
      <c r="I17" s="3">
        <v>8</v>
      </c>
      <c r="J17" s="3">
        <v>196</v>
      </c>
      <c r="K17" s="3">
        <v>10</v>
      </c>
    </row>
    <row r="18" spans="1:11" x14ac:dyDescent="0.35">
      <c r="A18" s="2">
        <v>15</v>
      </c>
      <c r="B18" s="3">
        <v>96</v>
      </c>
      <c r="C18" s="3">
        <v>3</v>
      </c>
      <c r="D18" s="3">
        <v>103</v>
      </c>
      <c r="E18" s="3">
        <v>5</v>
      </c>
      <c r="F18" s="3">
        <v>154</v>
      </c>
      <c r="G18" s="3">
        <v>7</v>
      </c>
      <c r="H18" s="3">
        <v>163</v>
      </c>
      <c r="I18" s="3">
        <v>10</v>
      </c>
      <c r="J18" s="3">
        <v>181</v>
      </c>
      <c r="K18" s="3">
        <v>13</v>
      </c>
    </row>
    <row r="19" spans="1:11" x14ac:dyDescent="0.35">
      <c r="A19" s="2">
        <v>16</v>
      </c>
      <c r="B19" s="3">
        <v>97</v>
      </c>
      <c r="C19" s="3">
        <v>2</v>
      </c>
      <c r="D19" s="3">
        <v>103</v>
      </c>
      <c r="E19" s="3">
        <v>4</v>
      </c>
      <c r="F19" s="3">
        <v>162</v>
      </c>
      <c r="G19" s="3">
        <v>8</v>
      </c>
      <c r="H19" s="3">
        <v>195</v>
      </c>
      <c r="I19" s="3">
        <v>9</v>
      </c>
      <c r="J19" s="3">
        <v>200</v>
      </c>
      <c r="K19" s="3">
        <v>13</v>
      </c>
    </row>
    <row r="20" spans="1:11" x14ac:dyDescent="0.35">
      <c r="A20" s="2">
        <v>17</v>
      </c>
      <c r="B20" s="3">
        <v>103</v>
      </c>
      <c r="C20" s="3">
        <v>3</v>
      </c>
      <c r="D20" s="3">
        <v>92</v>
      </c>
      <c r="E20" s="3">
        <v>5</v>
      </c>
      <c r="F20" s="3">
        <v>158</v>
      </c>
      <c r="G20" s="3">
        <v>6</v>
      </c>
      <c r="H20" s="3">
        <v>190</v>
      </c>
      <c r="I20" s="3">
        <v>9</v>
      </c>
      <c r="J20" s="3">
        <v>210</v>
      </c>
      <c r="K20" s="3">
        <v>10</v>
      </c>
    </row>
    <row r="21" spans="1:11" x14ac:dyDescent="0.35">
      <c r="A21" s="2">
        <v>18</v>
      </c>
      <c r="B21" s="3">
        <v>100</v>
      </c>
      <c r="C21" s="3">
        <v>2</v>
      </c>
      <c r="D21" s="3">
        <v>94</v>
      </c>
      <c r="E21" s="3">
        <v>5</v>
      </c>
      <c r="F21" s="3">
        <v>164</v>
      </c>
      <c r="G21" s="3">
        <v>6</v>
      </c>
      <c r="H21" s="3">
        <v>178</v>
      </c>
      <c r="I21" s="3">
        <v>10</v>
      </c>
      <c r="J21" s="3">
        <v>213</v>
      </c>
      <c r="K21" s="3">
        <v>11</v>
      </c>
    </row>
    <row r="22" spans="1:11" x14ac:dyDescent="0.35">
      <c r="A22" s="2">
        <v>19</v>
      </c>
      <c r="B22" s="3">
        <v>102</v>
      </c>
      <c r="C22" s="3">
        <v>3</v>
      </c>
      <c r="D22" s="3">
        <v>108</v>
      </c>
      <c r="E22" s="3">
        <v>4</v>
      </c>
      <c r="F22" s="3">
        <v>158</v>
      </c>
      <c r="G22" s="3">
        <v>7</v>
      </c>
      <c r="H22" s="3">
        <v>198</v>
      </c>
      <c r="I22" s="3">
        <v>10</v>
      </c>
      <c r="J22" s="3">
        <v>209</v>
      </c>
      <c r="K22" s="3">
        <v>12</v>
      </c>
    </row>
    <row r="23" spans="1:11" x14ac:dyDescent="0.35">
      <c r="A23" s="2">
        <v>20</v>
      </c>
      <c r="B23" s="3">
        <v>100</v>
      </c>
      <c r="C23" s="3">
        <v>3</v>
      </c>
      <c r="D23" s="3">
        <v>104</v>
      </c>
      <c r="E23" s="3">
        <v>4</v>
      </c>
      <c r="F23" s="3">
        <v>154</v>
      </c>
      <c r="G23" s="3">
        <v>8</v>
      </c>
      <c r="H23" s="3">
        <v>166</v>
      </c>
      <c r="I23" s="3">
        <v>10</v>
      </c>
      <c r="J23" s="3">
        <v>208</v>
      </c>
      <c r="K23" s="3">
        <v>13</v>
      </c>
    </row>
    <row r="24" spans="1:11" x14ac:dyDescent="0.35">
      <c r="A24" s="2">
        <v>21</v>
      </c>
      <c r="B24" s="3">
        <v>97</v>
      </c>
      <c r="C24" s="3">
        <v>2</v>
      </c>
      <c r="D24" s="3">
        <v>100</v>
      </c>
      <c r="E24" s="3">
        <v>5</v>
      </c>
      <c r="F24" s="3">
        <v>162</v>
      </c>
      <c r="G24" s="3">
        <v>6</v>
      </c>
      <c r="H24" s="3">
        <v>187</v>
      </c>
      <c r="I24" s="3">
        <v>8</v>
      </c>
      <c r="J24" s="3">
        <v>191</v>
      </c>
      <c r="K24" s="3">
        <v>10</v>
      </c>
    </row>
    <row r="25" spans="1:11" x14ac:dyDescent="0.35">
      <c r="A25" s="2">
        <v>22</v>
      </c>
      <c r="B25" s="3">
        <v>99</v>
      </c>
      <c r="C25" s="3">
        <v>3</v>
      </c>
      <c r="D25" s="3">
        <v>94</v>
      </c>
      <c r="E25" s="3">
        <v>5</v>
      </c>
      <c r="F25" s="3">
        <v>159</v>
      </c>
      <c r="G25" s="3">
        <v>8</v>
      </c>
      <c r="H25" s="3">
        <v>166</v>
      </c>
      <c r="I25" s="3">
        <v>9</v>
      </c>
      <c r="J25" s="3">
        <v>216</v>
      </c>
      <c r="K25" s="3">
        <v>10</v>
      </c>
    </row>
    <row r="26" spans="1:11" x14ac:dyDescent="0.35">
      <c r="A26" s="2">
        <v>23</v>
      </c>
      <c r="B26" s="3">
        <v>95</v>
      </c>
      <c r="C26" s="3">
        <v>3</v>
      </c>
      <c r="D26" s="3">
        <v>93</v>
      </c>
      <c r="E26" s="3">
        <v>5</v>
      </c>
      <c r="F26" s="3">
        <v>152</v>
      </c>
      <c r="G26" s="3">
        <v>8</v>
      </c>
      <c r="H26" s="3">
        <v>186</v>
      </c>
      <c r="I26" s="3">
        <v>10</v>
      </c>
      <c r="J26" s="3">
        <v>199</v>
      </c>
      <c r="K26" s="3">
        <v>10</v>
      </c>
    </row>
    <row r="27" spans="1:11" x14ac:dyDescent="0.35">
      <c r="A27" s="2">
        <v>24</v>
      </c>
      <c r="B27" s="3">
        <v>99</v>
      </c>
      <c r="C27" s="3">
        <v>2</v>
      </c>
      <c r="D27" s="3">
        <v>106</v>
      </c>
      <c r="E27" s="3">
        <v>5</v>
      </c>
      <c r="F27" s="3">
        <v>163</v>
      </c>
      <c r="G27" s="3">
        <v>8</v>
      </c>
      <c r="H27" s="3">
        <v>167</v>
      </c>
      <c r="I27" s="3">
        <v>9</v>
      </c>
      <c r="J27" s="3">
        <v>188</v>
      </c>
      <c r="K27" s="3">
        <v>10</v>
      </c>
    </row>
    <row r="28" spans="1:11" x14ac:dyDescent="0.35">
      <c r="A28" s="2">
        <v>25</v>
      </c>
      <c r="B28" s="3">
        <v>102</v>
      </c>
      <c r="C28" s="3">
        <v>2</v>
      </c>
      <c r="D28" s="3">
        <v>102</v>
      </c>
      <c r="E28" s="3">
        <v>4</v>
      </c>
      <c r="F28" s="3">
        <v>150</v>
      </c>
      <c r="G28" s="3">
        <v>7</v>
      </c>
      <c r="H28" s="3">
        <v>172</v>
      </c>
      <c r="I28" s="3">
        <v>9</v>
      </c>
      <c r="J28" s="3">
        <v>183</v>
      </c>
      <c r="K28" s="3">
        <v>12</v>
      </c>
    </row>
    <row r="29" spans="1:11" x14ac:dyDescent="0.35">
      <c r="A29" s="2">
        <v>26</v>
      </c>
      <c r="B29" s="3">
        <v>105</v>
      </c>
      <c r="C29" s="3">
        <v>2</v>
      </c>
      <c r="D29" s="3">
        <v>102</v>
      </c>
      <c r="E29" s="3">
        <v>4</v>
      </c>
      <c r="F29" s="3">
        <v>153</v>
      </c>
      <c r="G29" s="3">
        <v>8</v>
      </c>
      <c r="H29" s="3">
        <v>182</v>
      </c>
      <c r="I29" s="3">
        <v>10</v>
      </c>
      <c r="J29" s="3">
        <v>219</v>
      </c>
      <c r="K29" s="3">
        <v>13</v>
      </c>
    </row>
    <row r="30" spans="1:11" x14ac:dyDescent="0.35">
      <c r="A30" s="2">
        <v>27</v>
      </c>
      <c r="B30" s="3">
        <v>100</v>
      </c>
      <c r="C30" s="3">
        <v>2</v>
      </c>
      <c r="D30" s="3">
        <v>94</v>
      </c>
      <c r="E30" s="3">
        <v>5</v>
      </c>
      <c r="F30" s="3">
        <v>154</v>
      </c>
      <c r="G30" s="3">
        <v>8</v>
      </c>
      <c r="H30" s="3">
        <v>176</v>
      </c>
      <c r="I30" s="3">
        <v>8</v>
      </c>
      <c r="J30" s="3">
        <v>217</v>
      </c>
      <c r="K30" s="3">
        <v>13</v>
      </c>
    </row>
    <row r="31" spans="1:11" x14ac:dyDescent="0.35">
      <c r="A31" s="2">
        <v>28</v>
      </c>
      <c r="B31" s="3">
        <v>96</v>
      </c>
      <c r="C31" s="3">
        <v>3</v>
      </c>
      <c r="D31" s="3">
        <v>93</v>
      </c>
      <c r="E31" s="3">
        <v>4</v>
      </c>
      <c r="F31" s="3">
        <v>153</v>
      </c>
      <c r="G31" s="3">
        <v>6</v>
      </c>
      <c r="H31" s="3">
        <v>169</v>
      </c>
      <c r="I31" s="3">
        <v>9</v>
      </c>
      <c r="J31" s="3">
        <v>205</v>
      </c>
      <c r="K31" s="3">
        <v>11</v>
      </c>
    </row>
    <row r="32" spans="1:11" x14ac:dyDescent="0.35">
      <c r="A32" s="2">
        <v>29</v>
      </c>
      <c r="B32" s="3">
        <v>101</v>
      </c>
      <c r="C32" s="3">
        <v>3</v>
      </c>
      <c r="D32" s="3">
        <v>93</v>
      </c>
      <c r="E32" s="3">
        <v>4</v>
      </c>
      <c r="F32" s="3">
        <v>152</v>
      </c>
      <c r="G32" s="3">
        <v>7</v>
      </c>
      <c r="H32" s="3">
        <v>166</v>
      </c>
      <c r="I32" s="3">
        <v>10</v>
      </c>
      <c r="J32" s="3">
        <v>219</v>
      </c>
      <c r="K32" s="3">
        <v>11</v>
      </c>
    </row>
    <row r="33" spans="1:11" ht="15" customHeight="1" x14ac:dyDescent="0.35">
      <c r="A33" s="2">
        <v>30</v>
      </c>
      <c r="B33" s="3">
        <v>98</v>
      </c>
      <c r="C33" s="3">
        <v>3</v>
      </c>
      <c r="D33" s="3">
        <v>97</v>
      </c>
      <c r="E33" s="3">
        <v>5</v>
      </c>
      <c r="F33" s="3">
        <v>150</v>
      </c>
      <c r="G33" s="3">
        <v>8</v>
      </c>
      <c r="H33" s="3">
        <v>187</v>
      </c>
      <c r="I33" s="3">
        <v>8</v>
      </c>
      <c r="J33" s="3">
        <v>202</v>
      </c>
      <c r="K33" s="3">
        <v>11</v>
      </c>
    </row>
    <row r="34" spans="1:11" ht="15" customHeight="1" x14ac:dyDescent="0.35">
      <c r="B34" s="3"/>
      <c r="C34" s="3"/>
      <c r="D34" s="3"/>
      <c r="E34" s="3"/>
      <c r="F34" s="3"/>
      <c r="G34" s="3"/>
      <c r="H34" s="3"/>
      <c r="I34" s="3"/>
      <c r="J34" s="3"/>
      <c r="K34" s="3"/>
    </row>
    <row r="35" spans="1:11" x14ac:dyDescent="0.35">
      <c r="A35" s="2" t="s">
        <v>20</v>
      </c>
    </row>
    <row r="37" spans="1:11" x14ac:dyDescent="0.35">
      <c r="A37" s="2" t="s">
        <v>31</v>
      </c>
      <c r="B37" s="18">
        <f>AVERAGE(B4:B33)</f>
        <v>100.1</v>
      </c>
      <c r="C37" s="18"/>
      <c r="D37" s="18">
        <f>AVERAGE(D4:D33)</f>
        <v>99.1</v>
      </c>
      <c r="E37" s="18"/>
      <c r="F37" s="18">
        <f>AVERAGE(F4:F33)</f>
        <v>156</v>
      </c>
      <c r="G37" s="18"/>
      <c r="H37" s="18">
        <f>AVERAGE(H4:H33)</f>
        <v>179.86666666666667</v>
      </c>
      <c r="I37" s="18"/>
      <c r="J37" s="18">
        <f>AVERAGE(J4:J33)</f>
        <v>202.1</v>
      </c>
    </row>
    <row r="38" spans="1:11" x14ac:dyDescent="0.35">
      <c r="A38" s="2" t="s">
        <v>30</v>
      </c>
      <c r="B38" s="21">
        <f>_xlfn.STDEV.S(B4:B33)</f>
        <v>3.0211895350832503</v>
      </c>
      <c r="C38" s="21"/>
      <c r="D38" s="21">
        <f>_xlfn.STDEV.S(D4:D33)</f>
        <v>5.6161712322849313</v>
      </c>
      <c r="E38" s="21"/>
      <c r="F38" s="21">
        <f>_xlfn.STDEV.S(F4:F33)</f>
        <v>4.3151697133684568</v>
      </c>
      <c r="G38" s="21"/>
      <c r="H38" s="21">
        <f>_xlfn.STDEV.S(H4:H33)</f>
        <v>11.640397354674478</v>
      </c>
      <c r="I38" s="21"/>
      <c r="J38" s="21">
        <f>_xlfn.STDEV.S(J4:J33)</f>
        <v>12.466091940775268</v>
      </c>
    </row>
    <row r="39" spans="1:11" x14ac:dyDescent="0.35">
      <c r="A39" s="2" t="s">
        <v>32</v>
      </c>
      <c r="B39" s="21">
        <f>AVERAGE(C4:C33)</f>
        <v>2.5666666666666669</v>
      </c>
      <c r="C39" s="21"/>
      <c r="D39" s="21">
        <f>AVERAGE(E4:E33)</f>
        <v>4.4333333333333336</v>
      </c>
      <c r="E39" s="21"/>
      <c r="F39" s="21">
        <f>AVERAGE(G4:G33)</f>
        <v>7.166666666666667</v>
      </c>
      <c r="G39" s="21"/>
      <c r="H39" s="21">
        <f>AVERAGE(I4:I33)</f>
        <v>9</v>
      </c>
      <c r="I39" s="21"/>
      <c r="J39" s="21">
        <f>AVERAGE(K4:K33)</f>
        <v>11.4</v>
      </c>
    </row>
    <row r="40" spans="1:11" x14ac:dyDescent="0.35">
      <c r="A40" s="2" t="s">
        <v>33</v>
      </c>
      <c r="B40" s="21">
        <f>_xlfn.STDEV.S(C4:C33)</f>
        <v>0.50400693299373112</v>
      </c>
      <c r="C40" s="21"/>
      <c r="D40" s="21">
        <f>_xlfn.STDEV.S(E4:E33)</f>
        <v>0.50400693299373112</v>
      </c>
      <c r="E40" s="21"/>
      <c r="F40" s="21">
        <f>_xlfn.STDEV.S(G4:G33)</f>
        <v>0.79147759387691952</v>
      </c>
      <c r="G40" s="21"/>
      <c r="H40" s="21">
        <f>_xlfn.STDEV.S(I4:I33)</f>
        <v>0.83045479853739967</v>
      </c>
      <c r="I40" s="21"/>
      <c r="J40" s="21">
        <f>_xlfn.STDEV.S(K4:K33)</f>
        <v>1.1325893433586842</v>
      </c>
    </row>
    <row r="46" spans="1:11" x14ac:dyDescent="0.35">
      <c r="A46" s="2" t="s">
        <v>34</v>
      </c>
      <c r="B46" s="21">
        <f>SQRT(B39*(B38^2)+(B37^2)*(B40^2))</f>
        <v>50.682742194181259</v>
      </c>
      <c r="C46" s="21"/>
      <c r="D46" s="21">
        <f t="shared" ref="D46:J46" si="0">SQRT(D39*(D38^2)+(D37^2)*(D40^2))</f>
        <v>51.327818520009117</v>
      </c>
      <c r="E46" s="21"/>
      <c r="F46" s="21">
        <f t="shared" si="0"/>
        <v>124.00973265475379</v>
      </c>
      <c r="G46" s="21"/>
      <c r="H46" s="21">
        <f t="shared" si="0"/>
        <v>153.39891151386911</v>
      </c>
      <c r="I46" s="21"/>
      <c r="J46" s="21">
        <f t="shared" si="0"/>
        <v>232.73400771014877</v>
      </c>
    </row>
    <row r="47" spans="1:11" x14ac:dyDescent="0.35">
      <c r="A47" s="1"/>
      <c r="B47" s="3"/>
      <c r="C47" s="3"/>
      <c r="D47" s="3"/>
      <c r="E47" s="3"/>
      <c r="F47" s="3"/>
      <c r="G47" s="3"/>
      <c r="H47" s="3"/>
      <c r="I47" s="3"/>
      <c r="J47" s="3"/>
    </row>
    <row r="48" spans="1:11" x14ac:dyDescent="0.35">
      <c r="A48" s="2" t="s">
        <v>21</v>
      </c>
      <c r="B48" s="27">
        <v>0.95</v>
      </c>
      <c r="C48" s="3"/>
      <c r="D48" s="27">
        <v>0.96</v>
      </c>
      <c r="E48" s="3"/>
      <c r="F48" s="27">
        <v>0.97</v>
      </c>
      <c r="G48" s="3"/>
      <c r="H48" s="27">
        <v>0.98</v>
      </c>
      <c r="I48" s="3"/>
      <c r="J48" s="27">
        <v>0.99</v>
      </c>
    </row>
    <row r="49" spans="1:10" x14ac:dyDescent="0.35">
      <c r="A49" s="2" t="s">
        <v>22</v>
      </c>
      <c r="B49" s="21">
        <f>_xlfn.NORM.S.INV(B48)</f>
        <v>1.6448536269514715</v>
      </c>
      <c r="C49" s="21"/>
      <c r="D49" s="21">
        <f t="shared" ref="D49:J49" si="1">_xlfn.NORM.S.INV(D48)</f>
        <v>1.7506860712521695</v>
      </c>
      <c r="E49" s="21"/>
      <c r="F49" s="21">
        <f t="shared" si="1"/>
        <v>1.8807936081512504</v>
      </c>
      <c r="G49" s="21"/>
      <c r="H49" s="21">
        <f t="shared" si="1"/>
        <v>2.0537489106318221</v>
      </c>
      <c r="I49" s="21"/>
      <c r="J49" s="21">
        <f t="shared" si="1"/>
        <v>2.3263478740408408</v>
      </c>
    </row>
    <row r="50" spans="1:10" x14ac:dyDescent="0.35">
      <c r="B50" s="3"/>
      <c r="C50" s="3"/>
      <c r="D50" s="3"/>
      <c r="E50" s="3"/>
      <c r="F50" s="3"/>
      <c r="G50" s="3"/>
      <c r="H50" s="3"/>
      <c r="I50" s="3"/>
      <c r="J50" s="3"/>
    </row>
    <row r="51" spans="1:10" x14ac:dyDescent="0.35">
      <c r="B51" s="3"/>
      <c r="C51" s="3"/>
      <c r="D51" s="3"/>
      <c r="E51" s="3"/>
      <c r="F51" s="3"/>
      <c r="G51" s="3"/>
      <c r="H51" s="3"/>
      <c r="I51" s="3"/>
      <c r="J51" s="3"/>
    </row>
    <row r="52" spans="1:10" x14ac:dyDescent="0.35">
      <c r="A52" s="26" t="s">
        <v>23</v>
      </c>
      <c r="B52" s="28">
        <f>B49*B46</f>
        <v>83.365692321945431</v>
      </c>
      <c r="C52" s="21"/>
      <c r="D52" s="28">
        <f t="shared" ref="D52:J52" si="2">D49*D46</f>
        <v>89.858896950739108</v>
      </c>
      <c r="E52" s="21"/>
      <c r="F52" s="28">
        <f t="shared" si="2"/>
        <v>233.23671252560632</v>
      </c>
      <c r="G52" s="21"/>
      <c r="H52" s="28">
        <f t="shared" si="2"/>
        <v>315.04284741371595</v>
      </c>
      <c r="I52" s="21"/>
      <c r="J52" s="28">
        <f t="shared" si="2"/>
        <v>541.42026405350919</v>
      </c>
    </row>
    <row r="53" spans="1:10" x14ac:dyDescent="0.35">
      <c r="A53" s="26" t="s">
        <v>29</v>
      </c>
      <c r="B53" s="29">
        <f>ROUNDUP(B52,0)</f>
        <v>84</v>
      </c>
      <c r="C53" s="3"/>
      <c r="D53" s="29">
        <f>ROUNDUP(D52,0)</f>
        <v>90</v>
      </c>
      <c r="E53" s="3"/>
      <c r="F53" s="29">
        <f>ROUNDUP(F52,0)</f>
        <v>234</v>
      </c>
      <c r="G53" s="3"/>
      <c r="H53" s="29">
        <f>ROUNDUP(H52,0)</f>
        <v>316</v>
      </c>
      <c r="I53" s="3"/>
      <c r="J53" s="29">
        <f>ROUNDUP(J52,0)</f>
        <v>542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2628-B079-47C9-A6A6-FCFC8A716873}">
  <dimension ref="A1:J7"/>
  <sheetViews>
    <sheetView workbookViewId="0">
      <selection activeCell="B16" sqref="B16"/>
    </sheetView>
  </sheetViews>
  <sheetFormatPr defaultRowHeight="14.5" x14ac:dyDescent="0.35"/>
  <cols>
    <col min="1" max="1" width="26.81640625" customWidth="1"/>
    <col min="2" max="2" width="10.54296875" customWidth="1"/>
    <col min="3" max="3" width="11.1796875" customWidth="1"/>
    <col min="4" max="4" width="10.453125" customWidth="1"/>
    <col min="5" max="5" width="10.1796875" customWidth="1"/>
    <col min="6" max="6" width="9.7265625" customWidth="1"/>
  </cols>
  <sheetData>
    <row r="1" spans="1:10" ht="20.5" x14ac:dyDescent="0.45">
      <c r="A1" s="17" t="s">
        <v>24</v>
      </c>
      <c r="B1" s="14"/>
      <c r="C1" s="14"/>
      <c r="D1" s="14"/>
      <c r="E1" s="14"/>
      <c r="F1" s="14"/>
    </row>
    <row r="2" spans="1:10" s="1" customFormat="1" x14ac:dyDescent="0.35">
      <c r="A2" s="2"/>
      <c r="B2" s="19" t="s">
        <v>1</v>
      </c>
      <c r="C2" s="20" t="s">
        <v>2</v>
      </c>
      <c r="D2" s="20" t="s">
        <v>3</v>
      </c>
      <c r="E2" s="20" t="s">
        <v>4</v>
      </c>
      <c r="F2" s="20" t="s">
        <v>5</v>
      </c>
      <c r="G2" s="20"/>
      <c r="H2" s="20"/>
      <c r="I2" s="20"/>
      <c r="J2" s="20"/>
    </row>
    <row r="3" spans="1:10" x14ac:dyDescent="0.35">
      <c r="A3" s="3" t="s">
        <v>25</v>
      </c>
      <c r="B3" s="18">
        <f>'Safety Stock'!B37</f>
        <v>100.1</v>
      </c>
      <c r="C3" s="18">
        <f>'Safety Stock'!D37</f>
        <v>99.1</v>
      </c>
      <c r="D3" s="18">
        <f>'Safety Stock'!F37</f>
        <v>156</v>
      </c>
      <c r="E3" s="18">
        <f>'Safety Stock'!H37</f>
        <v>179.86666666666667</v>
      </c>
      <c r="F3" s="18">
        <f>'Safety Stock'!J37</f>
        <v>202.1</v>
      </c>
    </row>
    <row r="4" spans="1:10" x14ac:dyDescent="0.35">
      <c r="A4" s="3" t="s">
        <v>26</v>
      </c>
      <c r="B4" s="21">
        <f>'Safety Stock'!B39</f>
        <v>2.5666666666666669</v>
      </c>
      <c r="C4" s="21">
        <f>'Safety Stock'!D39</f>
        <v>4.4333333333333336</v>
      </c>
      <c r="D4" s="21">
        <f>'Safety Stock'!F39</f>
        <v>7.166666666666667</v>
      </c>
      <c r="E4" s="21">
        <f>'Safety Stock'!H39</f>
        <v>9</v>
      </c>
      <c r="F4" s="21">
        <f>'Safety Stock'!J39</f>
        <v>11.4</v>
      </c>
    </row>
    <row r="5" spans="1:10" x14ac:dyDescent="0.35">
      <c r="A5" s="3" t="s">
        <v>27</v>
      </c>
      <c r="B5" s="21">
        <f>B3*B4</f>
        <v>256.92333333333335</v>
      </c>
      <c r="C5" s="21">
        <f t="shared" ref="C5:F5" si="0">C3*C4</f>
        <v>439.34333333333331</v>
      </c>
      <c r="D5" s="21">
        <f t="shared" si="0"/>
        <v>1118</v>
      </c>
      <c r="E5" s="21">
        <f t="shared" si="0"/>
        <v>1618.8000000000002</v>
      </c>
      <c r="F5" s="3">
        <f t="shared" si="0"/>
        <v>2303.94</v>
      </c>
    </row>
    <row r="6" spans="1:10" x14ac:dyDescent="0.35">
      <c r="A6" s="3" t="s">
        <v>23</v>
      </c>
      <c r="B6" s="21">
        <f>'Safety Stock'!B52</f>
        <v>83.365692321945431</v>
      </c>
      <c r="C6" s="21">
        <f>'Safety Stock'!D52</f>
        <v>89.858896950739108</v>
      </c>
      <c r="D6" s="21">
        <f>'Safety Stock'!F52</f>
        <v>233.23671252560632</v>
      </c>
      <c r="E6" s="21">
        <f>'Safety Stock'!H52</f>
        <v>315.04284741371595</v>
      </c>
      <c r="F6" s="21">
        <f>'Safety Stock'!J52</f>
        <v>541.42026405350919</v>
      </c>
    </row>
    <row r="7" spans="1:10" s="24" customFormat="1" x14ac:dyDescent="0.35">
      <c r="A7" s="22" t="s">
        <v>28</v>
      </c>
      <c r="B7" s="23">
        <f>ROUNDUP(B5 + B6, 0)</f>
        <v>341</v>
      </c>
      <c r="C7" s="23">
        <f t="shared" ref="C7:F7" si="1">ROUNDUP(C5 + C6, 0)</f>
        <v>530</v>
      </c>
      <c r="D7" s="23">
        <f t="shared" si="1"/>
        <v>1352</v>
      </c>
      <c r="E7" s="23">
        <f t="shared" si="1"/>
        <v>1934</v>
      </c>
      <c r="F7" s="23">
        <f t="shared" si="1"/>
        <v>2846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EOQ Model</vt:lpstr>
      <vt:lpstr>Safety Stock</vt:lpstr>
      <vt:lpstr>Reorder Point (ROP)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Aaron</dc:creator>
  <cp:keywords/>
  <dc:description/>
  <cp:lastModifiedBy>Michael Aaron</cp:lastModifiedBy>
  <cp:revision/>
  <dcterms:created xsi:type="dcterms:W3CDTF">2025-12-18T07:14:57Z</dcterms:created>
  <dcterms:modified xsi:type="dcterms:W3CDTF">2025-12-23T05:52:18Z</dcterms:modified>
  <cp:category/>
  <cp:contentStatus/>
</cp:coreProperties>
</file>