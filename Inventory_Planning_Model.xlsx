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d110be402d225b/Desktop/Documents/"/>
    </mc:Choice>
  </mc:AlternateContent>
  <xr:revisionPtr revIDLastSave="131" documentId="8_{711BA341-7BDD-45DE-A3E9-C5385B8080D3}" xr6:coauthVersionLast="47" xr6:coauthVersionMax="47" xr10:uidLastSave="{A2F54279-1B30-4958-8E52-2B19B4415D3B}"/>
  <bookViews>
    <workbookView xWindow="-90" yWindow="0" windowWidth="19380" windowHeight="20970" activeTab="1" xr2:uid="{617C77E3-42EA-4554-A097-C651DA5E7409}"/>
  </bookViews>
  <sheets>
    <sheet name="EOQ Model" sheetId="1" r:id="rId1"/>
    <sheet name="Safety Stock" sheetId="2" r:id="rId2"/>
    <sheet name="Reorder Point (ROP)" sheetId="3" r:id="rId3"/>
  </sheets>
  <calcPr calcId="0"/>
</workbook>
</file>

<file path=xl/calcChain.xml><?xml version="1.0" encoding="utf-8"?>
<calcChain xmlns="http://schemas.openxmlformats.org/spreadsheetml/2006/main">
  <c r="F3" i="3" l="1"/>
  <c r="E3" i="3"/>
  <c r="D3" i="3"/>
  <c r="C3" i="3"/>
  <c r="B3" i="3"/>
  <c r="D49" i="2"/>
  <c r="F49" i="2"/>
  <c r="H49" i="2"/>
  <c r="J49" i="2"/>
  <c r="D40" i="2"/>
  <c r="F40" i="2"/>
  <c r="H40" i="2"/>
  <c r="J40" i="2"/>
  <c r="D39" i="2"/>
  <c r="F39" i="2"/>
  <c r="H39" i="2"/>
  <c r="J39" i="2"/>
  <c r="D38" i="2"/>
  <c r="F38" i="2"/>
  <c r="H38" i="2"/>
  <c r="J38" i="2"/>
  <c r="D37" i="2"/>
  <c r="F37" i="2"/>
  <c r="H37" i="2"/>
  <c r="J37" i="2"/>
  <c r="B49" i="2"/>
  <c r="B40" i="2"/>
  <c r="B39" i="2"/>
  <c r="B38" i="2"/>
  <c r="B37" i="2"/>
  <c r="D9" i="1"/>
  <c r="D10" i="1" s="1"/>
  <c r="C8" i="1"/>
  <c r="D8" i="1"/>
  <c r="D11" i="1" s="1"/>
  <c r="E8" i="1"/>
  <c r="F8" i="1"/>
  <c r="B8" i="1"/>
  <c r="J46" i="2" l="1"/>
  <c r="J52" i="2" s="1"/>
  <c r="F6" i="3" s="1"/>
  <c r="F4" i="3"/>
  <c r="F5" i="3" s="1"/>
  <c r="H46" i="2"/>
  <c r="E4" i="3"/>
  <c r="E5" i="3" s="1"/>
  <c r="F46" i="2"/>
  <c r="F52" i="2" s="1"/>
  <c r="D6" i="3" s="1"/>
  <c r="D4" i="3"/>
  <c r="D5" i="3" s="1"/>
  <c r="D46" i="2"/>
  <c r="D52" i="2" s="1"/>
  <c r="C6" i="3" s="1"/>
  <c r="C4" i="3"/>
  <c r="C5" i="3" s="1"/>
  <c r="B46" i="2"/>
  <c r="B52" i="2" s="1"/>
  <c r="B6" i="3" s="1"/>
  <c r="B4" i="3"/>
  <c r="B5" i="3" s="1"/>
  <c r="H52" i="2"/>
  <c r="E6" i="3" s="1"/>
  <c r="C9" i="1"/>
  <c r="E9" i="1"/>
  <c r="F9" i="1"/>
  <c r="B9" i="1"/>
  <c r="D12" i="1"/>
  <c r="F7" i="3" l="1"/>
  <c r="E7" i="3"/>
  <c r="D7" i="3"/>
  <c r="C7" i="3"/>
  <c r="B7" i="3"/>
  <c r="C10" i="1"/>
  <c r="C11" i="1"/>
  <c r="C12" i="1" s="1"/>
  <c r="E10" i="1"/>
  <c r="E11" i="1"/>
  <c r="E12" i="1" s="1"/>
  <c r="F10" i="1"/>
  <c r="F11" i="1"/>
  <c r="F12" i="1" s="1"/>
  <c r="B10" i="1"/>
  <c r="B11" i="1"/>
  <c r="B1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<sst xmlns="http://schemas.openxmlformats.org/spreadsheetml/2006/main" count="53" uniqueCount="34">
  <si>
    <t>Product A</t>
  </si>
  <si>
    <t>Product B</t>
  </si>
  <si>
    <t>Product C</t>
  </si>
  <si>
    <t>Product D</t>
  </si>
  <si>
    <t>Product E</t>
  </si>
  <si>
    <t>Demand</t>
  </si>
  <si>
    <t>Order Lead Time</t>
  </si>
  <si>
    <t>H (Annual Holding Cost per Unit)</t>
  </si>
  <si>
    <t>EOQ</t>
  </si>
  <si>
    <t>Ordering Cost</t>
  </si>
  <si>
    <t>Holding Cost</t>
  </si>
  <si>
    <t>Total Cost</t>
  </si>
  <si>
    <t>H=V*C</t>
  </si>
  <si>
    <t>Annual Demand (D)</t>
  </si>
  <si>
    <t>Unit Value (or Unit Cost), (V)</t>
  </si>
  <si>
    <t>Order Cost (O)</t>
  </si>
  <si>
    <t>Inventory Carrying Cost Rate (C)</t>
  </si>
  <si>
    <t>Section 1: Economic Order Quantity (EOQ)</t>
  </si>
  <si>
    <t>Period</t>
  </si>
  <si>
    <t>Standard Deviation of Demand</t>
  </si>
  <si>
    <t>Average Lead Time</t>
  </si>
  <si>
    <t>Standard Deviation of Lead Time</t>
  </si>
  <si>
    <t>Combined Standard Deviation</t>
  </si>
  <si>
    <t>Service Level (Percentage)</t>
  </si>
  <si>
    <t>Service Level (k)</t>
  </si>
  <si>
    <t>Safety Stock (SS)</t>
  </si>
  <si>
    <t>Section 2: Safety Stock Calculation</t>
  </si>
  <si>
    <t>Safety Stock Calculation Summary</t>
  </si>
  <si>
    <t>Average Demand</t>
  </si>
  <si>
    <r>
      <rPr>
        <sz val="16"/>
        <color theme="1"/>
        <rFont val="Times New Roman"/>
        <family val="1"/>
      </rPr>
      <t xml:space="preserve"> </t>
    </r>
    <r>
      <rPr>
        <b/>
        <sz val="16"/>
        <color theme="1"/>
        <rFont val="Times New Roman"/>
        <family val="1"/>
      </rPr>
      <t>Section 3: Reorder Point (Lead-Time Demand + Safety Stock)</t>
    </r>
  </si>
  <si>
    <t>Average Lead Time (L)</t>
  </si>
  <si>
    <t>Average Demand per Period (D)</t>
  </si>
  <si>
    <t>Lead-Time Demand</t>
  </si>
  <si>
    <t>Reorder Point (ROP)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</si>
</sst>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70" formatCode="&quot;$&quot;#,##0.00"/>
    <numFmt numFmtId="172" formatCode="&quot;$&quot;#,##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F1114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6" fontId="20" fillId="0" borderId="0" xfId="0" applyNumberFormat="1" applyFont="1"/>
    <xf numFmtId="172" fontId="20" fillId="0" borderId="0" xfId="1" applyNumberFormat="1" applyFont="1"/>
    <xf numFmtId="8" fontId="20" fillId="0" borderId="0" xfId="0" applyNumberFormat="1" applyFont="1"/>
    <xf numFmtId="10" fontId="20" fillId="0" borderId="0" xfId="0" applyNumberFormat="1" applyFont="1"/>
    <xf numFmtId="9" fontId="20" fillId="0" borderId="0" xfId="0" applyNumberFormat="1" applyFont="1"/>
    <xf numFmtId="170" fontId="19" fillId="0" borderId="0" xfId="1" applyNumberFormat="1" applyFont="1"/>
    <xf numFmtId="170" fontId="19" fillId="0" borderId="0" xfId="0" applyNumberFormat="1" applyFont="1"/>
    <xf numFmtId="0" fontId="0" fillId="0" borderId="0" xfId="0" applyAlignment="1">
      <alignment horizontal="center"/>
    </xf>
    <xf numFmtId="0" fontId="2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8" fillId="0" borderId="10" xfId="0" applyFont="1" applyBorder="1"/>
    <xf numFmtId="0" fontId="19" fillId="33" borderId="11" xfId="0" applyFont="1" applyFill="1" applyBorder="1"/>
    <xf numFmtId="0" fontId="21" fillId="0" borderId="0" xfId="0" applyFont="1" applyAlignment="1">
      <alignment horizontal="centerContinuous"/>
    </xf>
    <xf numFmtId="1" fontId="19" fillId="0" borderId="0" xfId="0" applyNumberFormat="1" applyFont="1"/>
    <xf numFmtId="1" fontId="18" fillId="0" borderId="0" xfId="0" applyNumberFormat="1" applyFont="1"/>
    <xf numFmtId="1" fontId="16" fillId="0" borderId="0" xfId="0" applyNumberFormat="1" applyFont="1"/>
    <xf numFmtId="2" fontId="19" fillId="0" borderId="0" xfId="0" applyNumberFormat="1" applyFont="1"/>
    <xf numFmtId="9" fontId="19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88900</xdr:colOff>
      <xdr:row>11</xdr:row>
      <xdr:rowOff>19050</xdr:rowOff>
    </xdr:from>
    <xdr:to>
      <xdr:col>8</xdr:col>
      <xdr:colOff>107950</xdr:colOff>
      <xdr:row>12</xdr:row>
      <xdr:rowOff>88913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A6C0B5-5130-91BC-4600-543A278F5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2850" y="1860550"/>
          <a:ext cx="1625600" cy="25401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40</xdr:row>
      <xdr:rowOff>44450</xdr:rowOff>
    </xdr:from>
    <xdr:to>
      <xdr:col>4</xdr:col>
      <xdr:colOff>863876</xdr:colOff>
      <xdr:row>41</xdr:row>
      <xdr:rowOff>171466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4DD70C-9A87-4015-9050-23601443E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" y="7677150"/>
          <a:ext cx="5378726" cy="31116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41</xdr:row>
      <xdr:rowOff>120650</xdr:rowOff>
    </xdr:from>
    <xdr:to>
      <xdr:col>1</xdr:col>
      <xdr:colOff>603250</xdr:colOff>
      <xdr:row>44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2E76A1-BAB3-4B1A-A43B-41D9A21F9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7753350"/>
          <a:ext cx="2622550" cy="5270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49</xdr:row>
      <xdr:rowOff>57150</xdr:rowOff>
    </xdr:from>
    <xdr:to>
      <xdr:col>0</xdr:col>
      <xdr:colOff>1682834</xdr:colOff>
      <xdr:row>50</xdr:row>
      <xdr:rowOff>158750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36D4ECA-28A6-4D9A-94A7-33A55C20C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9163050"/>
          <a:ext cx="1625684" cy="285750"/>
        </a:xfrm>
        <a:prstGeom prst="rect">
          <a:avLst/>
        </a:prstGeom>
      </xdr:spPr>
    </xdr:pic>
    <xdr:clientData/>
  </xdr:twoCellAnchor>
  <xdr:twoCellAnchor editAs="oneCell">
    <xdr:from>
      <xdr:col>2</xdr:col>
      <xdr:colOff>1079500</xdr:colOff>
      <xdr:row>54</xdr:row>
      <xdr:rowOff>6350</xdr:rowOff>
    </xdr:from>
    <xdr:to>
      <xdr:col>5</xdr:col>
      <xdr:colOff>393814</xdr:colOff>
      <xdr:row>55</xdr:row>
      <xdr:rowOff>107965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6BC926-2EB6-484D-A0CE-DC107F942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3841750" y="10217150"/>
          <a:ext cx="2216264" cy="28576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692150</xdr:colOff>
      <xdr:row>56</xdr:row>
      <xdr:rowOff>57150</xdr:rowOff>
    </xdr:from>
    <xdr:to>
      <xdr:col>3</xdr:col>
      <xdr:colOff>495489</xdr:colOff>
      <xdr:row>61</xdr:row>
      <xdr:rowOff>57197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3DDD2F8-375E-4786-B6DE-ECC497789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92150" y="10820400"/>
          <a:ext cx="3683189" cy="92079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4</xdr:col>
      <xdr:colOff>203200</xdr:colOff>
      <xdr:row>57</xdr:row>
      <xdr:rowOff>88900</xdr:rowOff>
    </xdr:from>
    <xdr:to>
      <xdr:col>10</xdr:col>
      <xdr:colOff>1035369</xdr:colOff>
      <xdr:row>61</xdr:row>
      <xdr:rowOff>139740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FF5E561-56AE-41F7-AA6E-C1AA6AAFE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4749800" y="10852150"/>
          <a:ext cx="6197919" cy="78744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</xdr:col>
      <xdr:colOff>406400</xdr:colOff>
      <xdr:row>64</xdr:row>
      <xdr:rowOff>50800</xdr:rowOff>
    </xdr:from>
    <xdr:to>
      <xdr:col>6</xdr:col>
      <xdr:colOff>971797</xdr:colOff>
      <xdr:row>66</xdr:row>
      <xdr:rowOff>101622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C24E7E5-0FA2-47E1-9015-A3551A42A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duotone>
            <a:prstClr val="black"/>
            <a:schemeClr val="tx2">
              <a:lumMod val="10000"/>
              <a:lumOff val="90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2501900" y="12103100"/>
          <a:ext cx="4807197" cy="41912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1060450</xdr:colOff>
      <xdr:row>7</xdr:row>
      <xdr:rowOff>50800</xdr:rowOff>
    </xdr:from>
    <xdr:to>
      <xdr:col>4</xdr:col>
      <xdr:colOff>489132</xdr:colOff>
      <xdr:row>8</xdr:row>
      <xdr:rowOff>139714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682CA9-D6E1-1BCB-94C6-DCCBD74EC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accent1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1060450" y="1416050"/>
          <a:ext cx="3549832" cy="273064"/>
        </a:xfrm>
        <a:prstGeom prst="rect">
          <a:avLst/>
        </a:prstGeom>
        <a:noFill/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9EB4-089A-4467-BE6F-D25096688D4B}">
  <dimension ref="A1:J48"/>
  <sheetViews>
    <sheetView workbookViewId="0">
      <selection activeCell="E35" sqref="E35"/>
    </sheetView>
  </sheetViews>
  <sheetFormatPr defaultRowHeight="14.5" x14ac:dyDescent="0.35"/>
  <cols>
    <col min="1" max="1" width="30.26953125" style="1" bestFit="1" customWidth="1"/>
    <col min="2" max="3" width="9.54296875" bestFit="1" customWidth="1"/>
    <col min="4" max="4" width="10.81640625" bestFit="1" customWidth="1"/>
    <col min="5" max="5" width="9.6328125" bestFit="1" customWidth="1"/>
    <col min="6" max="6" width="9.81640625" bestFit="1" customWidth="1"/>
    <col min="7" max="7" width="7" bestFit="1" customWidth="1"/>
    <col min="8" max="8" width="16" bestFit="1" customWidth="1"/>
    <col min="9" max="9" width="9.54296875" bestFit="1" customWidth="1"/>
    <col min="10" max="10" width="16" bestFit="1" customWidth="1"/>
  </cols>
  <sheetData>
    <row r="1" spans="1:8" ht="20" x14ac:dyDescent="0.4">
      <c r="A1" s="14" t="s">
        <v>17</v>
      </c>
      <c r="B1" s="15"/>
      <c r="C1" s="15"/>
      <c r="D1" s="15"/>
      <c r="E1" s="15"/>
      <c r="F1" s="15"/>
      <c r="G1" s="15"/>
      <c r="H1" s="13"/>
    </row>
    <row r="2" spans="1:8" s="3" customFormat="1" ht="14" x14ac:dyDescent="0.3">
      <c r="A2" s="4"/>
      <c r="B2" s="16" t="s">
        <v>0</v>
      </c>
      <c r="C2" s="16" t="s">
        <v>1</v>
      </c>
      <c r="D2" s="16" t="s">
        <v>2</v>
      </c>
      <c r="E2" s="16" t="s">
        <v>3</v>
      </c>
      <c r="F2" s="16" t="s">
        <v>4</v>
      </c>
    </row>
    <row r="3" spans="1:8" s="1" customFormat="1" x14ac:dyDescent="0.35">
      <c r="A3" s="3" t="s">
        <v>13</v>
      </c>
      <c r="B3" s="5">
        <v>75000</v>
      </c>
      <c r="C3" s="5">
        <v>10000</v>
      </c>
      <c r="D3" s="5">
        <v>20000</v>
      </c>
      <c r="E3" s="5">
        <v>45000</v>
      </c>
      <c r="F3" s="5">
        <v>100000</v>
      </c>
    </row>
    <row r="4" spans="1:8" s="1" customFormat="1" x14ac:dyDescent="0.35">
      <c r="A4" s="3" t="s">
        <v>14</v>
      </c>
      <c r="B4" s="6">
        <v>20</v>
      </c>
      <c r="C4" s="6">
        <v>50</v>
      </c>
      <c r="D4" s="7">
        <v>8000</v>
      </c>
      <c r="E4" s="6">
        <v>4</v>
      </c>
      <c r="F4" s="8">
        <v>62.5</v>
      </c>
    </row>
    <row r="5" spans="1:8" s="1" customFormat="1" x14ac:dyDescent="0.35">
      <c r="A5" s="3" t="s">
        <v>15</v>
      </c>
      <c r="B5" s="6">
        <v>30</v>
      </c>
      <c r="C5" s="6">
        <v>80</v>
      </c>
      <c r="D5" s="6">
        <v>300</v>
      </c>
      <c r="E5" s="6">
        <v>40</v>
      </c>
      <c r="F5" s="6">
        <v>200</v>
      </c>
    </row>
    <row r="6" spans="1:8" s="1" customFormat="1" x14ac:dyDescent="0.35">
      <c r="A6" s="3" t="s">
        <v>16</v>
      </c>
      <c r="B6" s="9">
        <v>0.22500000000000001</v>
      </c>
      <c r="C6" s="10">
        <v>0.2</v>
      </c>
      <c r="D6" s="10">
        <v>0.15</v>
      </c>
      <c r="E6" s="9">
        <v>0.22500000000000001</v>
      </c>
      <c r="F6" s="10">
        <v>0.25</v>
      </c>
    </row>
    <row r="7" spans="1:8" x14ac:dyDescent="0.35">
      <c r="B7" s="4"/>
      <c r="C7" s="4"/>
      <c r="D7" s="4"/>
      <c r="E7" s="4"/>
      <c r="F7" s="4"/>
    </row>
    <row r="8" spans="1:8" x14ac:dyDescent="0.35">
      <c r="A8" s="3" t="s">
        <v>7</v>
      </c>
      <c r="B8" s="11">
        <f>B4*B6</f>
        <v>4.5</v>
      </c>
      <c r="C8" s="11">
        <f t="shared" ref="C8:F8" si="0">C4*C6</f>
        <v>10</v>
      </c>
      <c r="D8" s="11">
        <f t="shared" si="0"/>
        <v>1200</v>
      </c>
      <c r="E8" s="11">
        <f t="shared" si="0"/>
        <v>0.9</v>
      </c>
      <c r="F8" s="11">
        <f t="shared" si="0"/>
        <v>15.625</v>
      </c>
      <c r="G8" s="17" t="s">
        <v>12</v>
      </c>
    </row>
    <row r="9" spans="1:8" x14ac:dyDescent="0.35">
      <c r="A9" s="3" t="s">
        <v>8</v>
      </c>
      <c r="B9" s="3">
        <f>SQRT((2*B5*B3)/B8)</f>
        <v>1000</v>
      </c>
      <c r="C9" s="3">
        <f t="shared" ref="C9:F9" si="1">SQRT((2*C5*C3)/C8)</f>
        <v>400</v>
      </c>
      <c r="D9" s="3">
        <f t="shared" si="1"/>
        <v>100</v>
      </c>
      <c r="E9" s="3">
        <f t="shared" si="1"/>
        <v>2000</v>
      </c>
      <c r="F9" s="3">
        <f t="shared" si="1"/>
        <v>1600</v>
      </c>
      <c r="G9" s="17" t="e" vm="1">
        <v>#VALUE!</v>
      </c>
    </row>
    <row r="10" spans="1:8" x14ac:dyDescent="0.35">
      <c r="A10" s="3" t="s">
        <v>9</v>
      </c>
      <c r="B10" s="12">
        <f>(B5*B3)/B9</f>
        <v>2250</v>
      </c>
      <c r="C10" s="12">
        <f t="shared" ref="C10:F10" si="2">(C5*C3)/C9</f>
        <v>2000</v>
      </c>
      <c r="D10" s="12">
        <f t="shared" si="2"/>
        <v>60000</v>
      </c>
      <c r="E10" s="12">
        <f t="shared" si="2"/>
        <v>900</v>
      </c>
      <c r="F10" s="12">
        <f t="shared" si="2"/>
        <v>12500</v>
      </c>
      <c r="G10" s="17" t="e" vm="2">
        <v>#VALUE!</v>
      </c>
    </row>
    <row r="11" spans="1:8" x14ac:dyDescent="0.35">
      <c r="A11" s="3" t="s">
        <v>10</v>
      </c>
      <c r="B11" s="12">
        <f>(B8*B9)/2</f>
        <v>2250</v>
      </c>
      <c r="C11" s="12">
        <f t="shared" ref="C11:F11" si="3">(C8*C9)/2</f>
        <v>2000</v>
      </c>
      <c r="D11" s="12">
        <f t="shared" si="3"/>
        <v>60000</v>
      </c>
      <c r="E11" s="12">
        <f t="shared" si="3"/>
        <v>900</v>
      </c>
      <c r="F11" s="12">
        <f t="shared" si="3"/>
        <v>12500</v>
      </c>
      <c r="G11" s="17" t="e" vm="3">
        <v>#VALUE!</v>
      </c>
    </row>
    <row r="12" spans="1:8" x14ac:dyDescent="0.35">
      <c r="A12" s="3" t="s">
        <v>11</v>
      </c>
      <c r="B12" s="12">
        <f>B10+B11</f>
        <v>4500</v>
      </c>
      <c r="C12" s="12">
        <f t="shared" ref="C12:F12" si="4">C10+C11</f>
        <v>4000</v>
      </c>
      <c r="D12" s="12">
        <f t="shared" si="4"/>
        <v>120000</v>
      </c>
      <c r="E12" s="12">
        <f t="shared" si="4"/>
        <v>1800</v>
      </c>
      <c r="F12" s="12">
        <f t="shared" si="4"/>
        <v>25000</v>
      </c>
    </row>
    <row r="17" spans="1:10" x14ac:dyDescent="0.35">
      <c r="A17" s="3"/>
      <c r="C17" s="3"/>
      <c r="E17" s="3"/>
      <c r="G17" s="3"/>
      <c r="I17" s="3"/>
    </row>
    <row r="18" spans="1:10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9BC5-F03A-4B94-938B-49EA373C16E1}">
  <dimension ref="A1:K53"/>
  <sheetViews>
    <sheetView tabSelected="1" workbookViewId="0">
      <pane ySplit="3" topLeftCell="A4" activePane="bottomLeft" state="frozen"/>
      <selection pane="bottomLeft" activeCell="K34" sqref="K34"/>
    </sheetView>
  </sheetViews>
  <sheetFormatPr defaultRowHeight="14.5" x14ac:dyDescent="0.35"/>
  <cols>
    <col min="1" max="1" width="30" style="3" bestFit="1" customWidth="1"/>
    <col min="2" max="2" width="9.54296875" bestFit="1" customWidth="1"/>
    <col min="3" max="3" width="16" bestFit="1" customWidth="1"/>
    <col min="4" max="4" width="9.54296875" bestFit="1" customWidth="1"/>
    <col min="5" max="5" width="16" bestFit="1" customWidth="1"/>
    <col min="6" max="6" width="9.6328125" bestFit="1" customWidth="1"/>
    <col min="7" max="7" width="16" bestFit="1" customWidth="1"/>
    <col min="8" max="8" width="9.6328125" bestFit="1" customWidth="1"/>
    <col min="9" max="9" width="16" bestFit="1" customWidth="1"/>
    <col min="10" max="10" width="9.54296875" bestFit="1" customWidth="1"/>
    <col min="11" max="11" width="16" bestFit="1" customWidth="1"/>
  </cols>
  <sheetData>
    <row r="1" spans="1:11" ht="20" x14ac:dyDescent="0.4">
      <c r="A1" s="14" t="s">
        <v>26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35">
      <c r="A2" s="3" t="s">
        <v>18</v>
      </c>
      <c r="B2" s="3" t="s">
        <v>0</v>
      </c>
      <c r="D2" s="3" t="s">
        <v>1</v>
      </c>
      <c r="F2" s="3" t="s">
        <v>2</v>
      </c>
      <c r="H2" s="3" t="s">
        <v>3</v>
      </c>
      <c r="J2" s="3" t="s">
        <v>4</v>
      </c>
    </row>
    <row r="3" spans="1:11" x14ac:dyDescent="0.35">
      <c r="B3" s="3" t="s">
        <v>5</v>
      </c>
      <c r="C3" s="3" t="s">
        <v>6</v>
      </c>
      <c r="D3" s="3" t="s">
        <v>5</v>
      </c>
      <c r="E3" s="3" t="s">
        <v>6</v>
      </c>
      <c r="F3" s="3" t="s">
        <v>5</v>
      </c>
      <c r="G3" s="3" t="s">
        <v>6</v>
      </c>
      <c r="H3" s="3" t="s">
        <v>5</v>
      </c>
      <c r="I3" s="3" t="s">
        <v>6</v>
      </c>
      <c r="J3" s="3" t="s">
        <v>5</v>
      </c>
      <c r="K3" s="3" t="s">
        <v>6</v>
      </c>
    </row>
    <row r="4" spans="1:11" x14ac:dyDescent="0.35">
      <c r="A4" s="3">
        <v>1</v>
      </c>
      <c r="B4" s="4">
        <v>96</v>
      </c>
      <c r="C4" s="4">
        <v>3</v>
      </c>
      <c r="D4" s="4">
        <v>107</v>
      </c>
      <c r="E4" s="4">
        <v>4</v>
      </c>
      <c r="F4" s="4">
        <v>164</v>
      </c>
      <c r="G4" s="4">
        <v>7</v>
      </c>
      <c r="H4" s="4">
        <v>168</v>
      </c>
      <c r="I4" s="4">
        <v>8</v>
      </c>
      <c r="J4" s="4">
        <v>217</v>
      </c>
      <c r="K4" s="4">
        <v>11</v>
      </c>
    </row>
    <row r="5" spans="1:11" x14ac:dyDescent="0.35">
      <c r="A5" s="3">
        <v>2</v>
      </c>
      <c r="B5" s="4">
        <v>98</v>
      </c>
      <c r="C5" s="4">
        <v>3</v>
      </c>
      <c r="D5" s="4">
        <v>94</v>
      </c>
      <c r="E5" s="4">
        <v>4</v>
      </c>
      <c r="F5" s="4">
        <v>156</v>
      </c>
      <c r="G5" s="4">
        <v>7</v>
      </c>
      <c r="H5" s="4">
        <v>200</v>
      </c>
      <c r="I5" s="4">
        <v>9</v>
      </c>
      <c r="J5" s="4">
        <v>190</v>
      </c>
      <c r="K5" s="4">
        <v>11</v>
      </c>
    </row>
    <row r="6" spans="1:11" x14ac:dyDescent="0.35">
      <c r="A6" s="3">
        <v>3</v>
      </c>
      <c r="B6" s="4">
        <v>103</v>
      </c>
      <c r="C6" s="4">
        <v>3</v>
      </c>
      <c r="D6" s="4">
        <v>98</v>
      </c>
      <c r="E6" s="4">
        <v>4</v>
      </c>
      <c r="F6" s="4">
        <v>161</v>
      </c>
      <c r="G6" s="4">
        <v>7</v>
      </c>
      <c r="H6" s="4">
        <v>194</v>
      </c>
      <c r="I6" s="4">
        <v>10</v>
      </c>
      <c r="J6" s="4">
        <v>184</v>
      </c>
      <c r="K6" s="4">
        <v>11</v>
      </c>
    </row>
    <row r="7" spans="1:11" x14ac:dyDescent="0.35">
      <c r="A7" s="3">
        <v>4</v>
      </c>
      <c r="B7" s="4">
        <v>97</v>
      </c>
      <c r="C7" s="4">
        <v>2</v>
      </c>
      <c r="D7" s="4">
        <v>100</v>
      </c>
      <c r="E7" s="4">
        <v>4</v>
      </c>
      <c r="F7" s="4">
        <v>155</v>
      </c>
      <c r="G7" s="4">
        <v>6</v>
      </c>
      <c r="H7" s="4">
        <v>177</v>
      </c>
      <c r="I7" s="4">
        <v>8</v>
      </c>
      <c r="J7" s="4">
        <v>196</v>
      </c>
      <c r="K7" s="4">
        <v>12</v>
      </c>
    </row>
    <row r="8" spans="1:11" x14ac:dyDescent="0.35">
      <c r="A8" s="3">
        <v>5</v>
      </c>
      <c r="B8" s="4">
        <v>104</v>
      </c>
      <c r="C8" s="4">
        <v>3</v>
      </c>
      <c r="D8" s="4">
        <v>95</v>
      </c>
      <c r="E8" s="4">
        <v>4</v>
      </c>
      <c r="F8" s="4">
        <v>152</v>
      </c>
      <c r="G8" s="4">
        <v>8</v>
      </c>
      <c r="H8" s="4">
        <v>172</v>
      </c>
      <c r="I8" s="4">
        <v>8</v>
      </c>
      <c r="J8" s="4">
        <v>185</v>
      </c>
      <c r="K8" s="4">
        <v>13</v>
      </c>
    </row>
    <row r="9" spans="1:11" x14ac:dyDescent="0.35">
      <c r="A9" s="3">
        <v>6</v>
      </c>
      <c r="B9" s="4">
        <v>96</v>
      </c>
      <c r="C9" s="4">
        <v>3</v>
      </c>
      <c r="D9" s="4">
        <v>106</v>
      </c>
      <c r="E9" s="4">
        <v>4</v>
      </c>
      <c r="F9" s="4">
        <v>155</v>
      </c>
      <c r="G9" s="4">
        <v>7</v>
      </c>
      <c r="H9" s="4">
        <v>195</v>
      </c>
      <c r="I9" s="4">
        <v>8</v>
      </c>
      <c r="J9" s="4">
        <v>208</v>
      </c>
      <c r="K9" s="4">
        <v>11</v>
      </c>
    </row>
    <row r="10" spans="1:11" x14ac:dyDescent="0.35">
      <c r="A10" s="3">
        <v>7</v>
      </c>
      <c r="B10" s="4">
        <v>103</v>
      </c>
      <c r="C10" s="4">
        <v>2</v>
      </c>
      <c r="D10" s="4">
        <v>102</v>
      </c>
      <c r="E10" s="4">
        <v>5</v>
      </c>
      <c r="F10" s="4">
        <v>153</v>
      </c>
      <c r="G10" s="4">
        <v>8</v>
      </c>
      <c r="H10" s="4">
        <v>193</v>
      </c>
      <c r="I10" s="4">
        <v>9</v>
      </c>
      <c r="J10" s="4">
        <v>196</v>
      </c>
      <c r="K10" s="4">
        <v>10</v>
      </c>
    </row>
    <row r="11" spans="1:11" x14ac:dyDescent="0.35">
      <c r="A11" s="3">
        <v>8</v>
      </c>
      <c r="B11" s="4">
        <v>103</v>
      </c>
      <c r="C11" s="4">
        <v>2</v>
      </c>
      <c r="D11" s="4">
        <v>104</v>
      </c>
      <c r="E11" s="4">
        <v>4</v>
      </c>
      <c r="F11" s="4">
        <v>150</v>
      </c>
      <c r="G11" s="4">
        <v>6</v>
      </c>
      <c r="H11" s="4">
        <v>191</v>
      </c>
      <c r="I11" s="4">
        <v>10</v>
      </c>
      <c r="J11" s="4">
        <v>199</v>
      </c>
      <c r="K11" s="4">
        <v>10</v>
      </c>
    </row>
    <row r="12" spans="1:11" x14ac:dyDescent="0.35">
      <c r="A12" s="3">
        <v>9</v>
      </c>
      <c r="B12" s="4">
        <v>103</v>
      </c>
      <c r="C12" s="4">
        <v>3</v>
      </c>
      <c r="D12" s="4">
        <v>95</v>
      </c>
      <c r="E12" s="4">
        <v>5</v>
      </c>
      <c r="F12" s="4">
        <v>151</v>
      </c>
      <c r="G12" s="4">
        <v>7</v>
      </c>
      <c r="H12" s="4">
        <v>182</v>
      </c>
      <c r="I12" s="4">
        <v>9</v>
      </c>
      <c r="J12" s="4">
        <v>219</v>
      </c>
      <c r="K12" s="4">
        <v>13</v>
      </c>
    </row>
    <row r="13" spans="1:11" x14ac:dyDescent="0.35">
      <c r="A13" s="3">
        <v>10</v>
      </c>
      <c r="B13" s="4">
        <v>103</v>
      </c>
      <c r="C13" s="4">
        <v>2</v>
      </c>
      <c r="D13" s="4">
        <v>90</v>
      </c>
      <c r="E13" s="4">
        <v>5</v>
      </c>
      <c r="F13" s="4">
        <v>158</v>
      </c>
      <c r="G13" s="4">
        <v>7</v>
      </c>
      <c r="H13" s="4">
        <v>181</v>
      </c>
      <c r="I13" s="4">
        <v>9</v>
      </c>
      <c r="J13" s="4">
        <v>204</v>
      </c>
      <c r="K13" s="4">
        <v>12</v>
      </c>
    </row>
    <row r="14" spans="1:11" x14ac:dyDescent="0.35">
      <c r="A14" s="3">
        <v>11</v>
      </c>
      <c r="B14" s="4">
        <v>99</v>
      </c>
      <c r="C14" s="4">
        <v>3</v>
      </c>
      <c r="D14" s="4">
        <v>107</v>
      </c>
      <c r="E14" s="4">
        <v>4</v>
      </c>
      <c r="F14" s="4">
        <v>159</v>
      </c>
      <c r="G14" s="4">
        <v>7</v>
      </c>
      <c r="H14" s="4">
        <v>161</v>
      </c>
      <c r="I14" s="4">
        <v>10</v>
      </c>
      <c r="J14" s="4">
        <v>215</v>
      </c>
      <c r="K14" s="4">
        <v>11</v>
      </c>
    </row>
    <row r="15" spans="1:11" x14ac:dyDescent="0.35">
      <c r="A15" s="3">
        <v>12</v>
      </c>
      <c r="B15" s="4">
        <v>103</v>
      </c>
      <c r="C15" s="4">
        <v>2</v>
      </c>
      <c r="D15" s="4">
        <v>103</v>
      </c>
      <c r="E15" s="4">
        <v>4</v>
      </c>
      <c r="F15" s="4">
        <v>154</v>
      </c>
      <c r="G15" s="4">
        <v>8</v>
      </c>
      <c r="H15" s="4">
        <v>189</v>
      </c>
      <c r="I15" s="4">
        <v>8</v>
      </c>
      <c r="J15" s="4">
        <v>182</v>
      </c>
      <c r="K15" s="4">
        <v>12</v>
      </c>
    </row>
    <row r="16" spans="1:11" x14ac:dyDescent="0.35">
      <c r="A16" s="3">
        <v>13</v>
      </c>
      <c r="B16" s="4">
        <v>100</v>
      </c>
      <c r="C16" s="4">
        <v>2</v>
      </c>
      <c r="D16" s="4">
        <v>90</v>
      </c>
      <c r="E16" s="4">
        <v>4</v>
      </c>
      <c r="F16" s="4">
        <v>159</v>
      </c>
      <c r="G16" s="4">
        <v>8</v>
      </c>
      <c r="H16" s="4">
        <v>171</v>
      </c>
      <c r="I16" s="4">
        <v>8</v>
      </c>
      <c r="J16" s="4">
        <v>212</v>
      </c>
      <c r="K16" s="4">
        <v>12</v>
      </c>
    </row>
    <row r="17" spans="1:11" x14ac:dyDescent="0.35">
      <c r="A17" s="3">
        <v>14</v>
      </c>
      <c r="B17" s="4">
        <v>105</v>
      </c>
      <c r="C17" s="4">
        <v>3</v>
      </c>
      <c r="D17" s="4">
        <v>104</v>
      </c>
      <c r="E17" s="4">
        <v>5</v>
      </c>
      <c r="F17" s="4">
        <v>155</v>
      </c>
      <c r="G17" s="4">
        <v>6</v>
      </c>
      <c r="H17" s="4">
        <v>174</v>
      </c>
      <c r="I17" s="4">
        <v>8</v>
      </c>
      <c r="J17" s="4">
        <v>196</v>
      </c>
      <c r="K17" s="4">
        <v>10</v>
      </c>
    </row>
    <row r="18" spans="1:11" x14ac:dyDescent="0.35">
      <c r="A18" s="3">
        <v>15</v>
      </c>
      <c r="B18" s="4">
        <v>96</v>
      </c>
      <c r="C18" s="4">
        <v>3</v>
      </c>
      <c r="D18" s="4">
        <v>103</v>
      </c>
      <c r="E18" s="4">
        <v>5</v>
      </c>
      <c r="F18" s="4">
        <v>154</v>
      </c>
      <c r="G18" s="4">
        <v>7</v>
      </c>
      <c r="H18" s="4">
        <v>163</v>
      </c>
      <c r="I18" s="4">
        <v>10</v>
      </c>
      <c r="J18" s="4">
        <v>181</v>
      </c>
      <c r="K18" s="4">
        <v>13</v>
      </c>
    </row>
    <row r="19" spans="1:11" x14ac:dyDescent="0.35">
      <c r="A19" s="3">
        <v>16</v>
      </c>
      <c r="B19" s="4">
        <v>97</v>
      </c>
      <c r="C19" s="4">
        <v>2</v>
      </c>
      <c r="D19" s="4">
        <v>103</v>
      </c>
      <c r="E19" s="4">
        <v>4</v>
      </c>
      <c r="F19" s="4">
        <v>162</v>
      </c>
      <c r="G19" s="4">
        <v>8</v>
      </c>
      <c r="H19" s="4">
        <v>195</v>
      </c>
      <c r="I19" s="4">
        <v>9</v>
      </c>
      <c r="J19" s="4">
        <v>200</v>
      </c>
      <c r="K19" s="4">
        <v>13</v>
      </c>
    </row>
    <row r="20" spans="1:11" x14ac:dyDescent="0.35">
      <c r="A20" s="3">
        <v>17</v>
      </c>
      <c r="B20" s="4">
        <v>103</v>
      </c>
      <c r="C20" s="4">
        <v>3</v>
      </c>
      <c r="D20" s="4">
        <v>92</v>
      </c>
      <c r="E20" s="4">
        <v>5</v>
      </c>
      <c r="F20" s="4">
        <v>158</v>
      </c>
      <c r="G20" s="4">
        <v>6</v>
      </c>
      <c r="H20" s="4">
        <v>190</v>
      </c>
      <c r="I20" s="4">
        <v>9</v>
      </c>
      <c r="J20" s="4">
        <v>210</v>
      </c>
      <c r="K20" s="4">
        <v>10</v>
      </c>
    </row>
    <row r="21" spans="1:11" x14ac:dyDescent="0.35">
      <c r="A21" s="3">
        <v>18</v>
      </c>
      <c r="B21" s="4">
        <v>100</v>
      </c>
      <c r="C21" s="4">
        <v>2</v>
      </c>
      <c r="D21" s="4">
        <v>94</v>
      </c>
      <c r="E21" s="4">
        <v>5</v>
      </c>
      <c r="F21" s="4">
        <v>164</v>
      </c>
      <c r="G21" s="4">
        <v>6</v>
      </c>
      <c r="H21" s="4">
        <v>178</v>
      </c>
      <c r="I21" s="4">
        <v>10</v>
      </c>
      <c r="J21" s="4">
        <v>213</v>
      </c>
      <c r="K21" s="4">
        <v>11</v>
      </c>
    </row>
    <row r="22" spans="1:11" x14ac:dyDescent="0.35">
      <c r="A22" s="3">
        <v>19</v>
      </c>
      <c r="B22" s="4">
        <v>102</v>
      </c>
      <c r="C22" s="4">
        <v>3</v>
      </c>
      <c r="D22" s="4">
        <v>108</v>
      </c>
      <c r="E22" s="4">
        <v>4</v>
      </c>
      <c r="F22" s="4">
        <v>158</v>
      </c>
      <c r="G22" s="4">
        <v>7</v>
      </c>
      <c r="H22" s="4">
        <v>198</v>
      </c>
      <c r="I22" s="4">
        <v>10</v>
      </c>
      <c r="J22" s="4">
        <v>209</v>
      </c>
      <c r="K22" s="4">
        <v>12</v>
      </c>
    </row>
    <row r="23" spans="1:11" x14ac:dyDescent="0.35">
      <c r="A23" s="3">
        <v>20</v>
      </c>
      <c r="B23" s="4">
        <v>100</v>
      </c>
      <c r="C23" s="4">
        <v>3</v>
      </c>
      <c r="D23" s="4">
        <v>104</v>
      </c>
      <c r="E23" s="4">
        <v>4</v>
      </c>
      <c r="F23" s="4">
        <v>154</v>
      </c>
      <c r="G23" s="4">
        <v>8</v>
      </c>
      <c r="H23" s="4">
        <v>166</v>
      </c>
      <c r="I23" s="4">
        <v>10</v>
      </c>
      <c r="J23" s="4">
        <v>208</v>
      </c>
      <c r="K23" s="4">
        <v>13</v>
      </c>
    </row>
    <row r="24" spans="1:11" x14ac:dyDescent="0.35">
      <c r="A24" s="3">
        <v>21</v>
      </c>
      <c r="B24" s="4">
        <v>97</v>
      </c>
      <c r="C24" s="4">
        <v>2</v>
      </c>
      <c r="D24" s="4">
        <v>100</v>
      </c>
      <c r="E24" s="4">
        <v>5</v>
      </c>
      <c r="F24" s="4">
        <v>162</v>
      </c>
      <c r="G24" s="4">
        <v>6</v>
      </c>
      <c r="H24" s="4">
        <v>187</v>
      </c>
      <c r="I24" s="4">
        <v>8</v>
      </c>
      <c r="J24" s="4">
        <v>191</v>
      </c>
      <c r="K24" s="4">
        <v>10</v>
      </c>
    </row>
    <row r="25" spans="1:11" x14ac:dyDescent="0.35">
      <c r="A25" s="3">
        <v>22</v>
      </c>
      <c r="B25" s="4">
        <v>99</v>
      </c>
      <c r="C25" s="4">
        <v>3</v>
      </c>
      <c r="D25" s="4">
        <v>94</v>
      </c>
      <c r="E25" s="4">
        <v>5</v>
      </c>
      <c r="F25" s="4">
        <v>159</v>
      </c>
      <c r="G25" s="4">
        <v>8</v>
      </c>
      <c r="H25" s="4">
        <v>166</v>
      </c>
      <c r="I25" s="4">
        <v>9</v>
      </c>
      <c r="J25" s="4">
        <v>216</v>
      </c>
      <c r="K25" s="4">
        <v>10</v>
      </c>
    </row>
    <row r="26" spans="1:11" x14ac:dyDescent="0.35">
      <c r="A26" s="3">
        <v>23</v>
      </c>
      <c r="B26" s="4">
        <v>95</v>
      </c>
      <c r="C26" s="4">
        <v>3</v>
      </c>
      <c r="D26" s="4">
        <v>93</v>
      </c>
      <c r="E26" s="4">
        <v>5</v>
      </c>
      <c r="F26" s="4">
        <v>152</v>
      </c>
      <c r="G26" s="4">
        <v>8</v>
      </c>
      <c r="H26" s="4">
        <v>186</v>
      </c>
      <c r="I26" s="4">
        <v>10</v>
      </c>
      <c r="J26" s="4">
        <v>199</v>
      </c>
      <c r="K26" s="4">
        <v>10</v>
      </c>
    </row>
    <row r="27" spans="1:11" x14ac:dyDescent="0.35">
      <c r="A27" s="3">
        <v>24</v>
      </c>
      <c r="B27" s="4">
        <v>99</v>
      </c>
      <c r="C27" s="4">
        <v>2</v>
      </c>
      <c r="D27" s="4">
        <v>106</v>
      </c>
      <c r="E27" s="4">
        <v>5</v>
      </c>
      <c r="F27" s="4">
        <v>163</v>
      </c>
      <c r="G27" s="4">
        <v>8</v>
      </c>
      <c r="H27" s="4">
        <v>167</v>
      </c>
      <c r="I27" s="4">
        <v>9</v>
      </c>
      <c r="J27" s="4">
        <v>188</v>
      </c>
      <c r="K27" s="4">
        <v>10</v>
      </c>
    </row>
    <row r="28" spans="1:11" x14ac:dyDescent="0.35">
      <c r="A28" s="3">
        <v>25</v>
      </c>
      <c r="B28" s="4">
        <v>102</v>
      </c>
      <c r="C28" s="4">
        <v>2</v>
      </c>
      <c r="D28" s="4">
        <v>102</v>
      </c>
      <c r="E28" s="4">
        <v>4</v>
      </c>
      <c r="F28" s="4">
        <v>150</v>
      </c>
      <c r="G28" s="4">
        <v>7</v>
      </c>
      <c r="H28" s="4">
        <v>172</v>
      </c>
      <c r="I28" s="4">
        <v>9</v>
      </c>
      <c r="J28" s="4">
        <v>183</v>
      </c>
      <c r="K28" s="4">
        <v>12</v>
      </c>
    </row>
    <row r="29" spans="1:11" x14ac:dyDescent="0.35">
      <c r="A29" s="3">
        <v>26</v>
      </c>
      <c r="B29" s="4">
        <v>105</v>
      </c>
      <c r="C29" s="4">
        <v>2</v>
      </c>
      <c r="D29" s="4">
        <v>102</v>
      </c>
      <c r="E29" s="4">
        <v>4</v>
      </c>
      <c r="F29" s="4">
        <v>153</v>
      </c>
      <c r="G29" s="4">
        <v>8</v>
      </c>
      <c r="H29" s="4">
        <v>182</v>
      </c>
      <c r="I29" s="4">
        <v>10</v>
      </c>
      <c r="J29" s="4">
        <v>219</v>
      </c>
      <c r="K29" s="4">
        <v>13</v>
      </c>
    </row>
    <row r="30" spans="1:11" x14ac:dyDescent="0.35">
      <c r="A30" s="3">
        <v>27</v>
      </c>
      <c r="B30" s="4">
        <v>100</v>
      </c>
      <c r="C30" s="4">
        <v>2</v>
      </c>
      <c r="D30" s="4">
        <v>94</v>
      </c>
      <c r="E30" s="4">
        <v>5</v>
      </c>
      <c r="F30" s="4">
        <v>154</v>
      </c>
      <c r="G30" s="4">
        <v>8</v>
      </c>
      <c r="H30" s="4">
        <v>176</v>
      </c>
      <c r="I30" s="4">
        <v>8</v>
      </c>
      <c r="J30" s="4">
        <v>217</v>
      </c>
      <c r="K30" s="4">
        <v>13</v>
      </c>
    </row>
    <row r="31" spans="1:11" x14ac:dyDescent="0.35">
      <c r="A31" s="3">
        <v>28</v>
      </c>
      <c r="B31" s="4">
        <v>96</v>
      </c>
      <c r="C31" s="4">
        <v>3</v>
      </c>
      <c r="D31" s="4">
        <v>93</v>
      </c>
      <c r="E31" s="4">
        <v>4</v>
      </c>
      <c r="F31" s="4">
        <v>153</v>
      </c>
      <c r="G31" s="4">
        <v>6</v>
      </c>
      <c r="H31" s="4">
        <v>169</v>
      </c>
      <c r="I31" s="4">
        <v>9</v>
      </c>
      <c r="J31" s="4">
        <v>205</v>
      </c>
      <c r="K31" s="4">
        <v>11</v>
      </c>
    </row>
    <row r="32" spans="1:11" x14ac:dyDescent="0.35">
      <c r="A32" s="3">
        <v>29</v>
      </c>
      <c r="B32" s="4">
        <v>101</v>
      </c>
      <c r="C32" s="4">
        <v>3</v>
      </c>
      <c r="D32" s="4">
        <v>93</v>
      </c>
      <c r="E32" s="4">
        <v>4</v>
      </c>
      <c r="F32" s="4">
        <v>152</v>
      </c>
      <c r="G32" s="4">
        <v>7</v>
      </c>
      <c r="H32" s="4">
        <v>166</v>
      </c>
      <c r="I32" s="4">
        <v>10</v>
      </c>
      <c r="J32" s="4">
        <v>219</v>
      </c>
      <c r="K32" s="4">
        <v>11</v>
      </c>
    </row>
    <row r="33" spans="1:11" ht="15" customHeight="1" x14ac:dyDescent="0.35">
      <c r="A33" s="3">
        <v>30</v>
      </c>
      <c r="B33" s="4">
        <v>98</v>
      </c>
      <c r="C33" s="4">
        <v>3</v>
      </c>
      <c r="D33" s="4">
        <v>97</v>
      </c>
      <c r="E33" s="4">
        <v>5</v>
      </c>
      <c r="F33" s="4">
        <v>150</v>
      </c>
      <c r="G33" s="4">
        <v>8</v>
      </c>
      <c r="H33" s="4">
        <v>187</v>
      </c>
      <c r="I33" s="4">
        <v>8</v>
      </c>
      <c r="J33" s="4">
        <v>202</v>
      </c>
      <c r="K33" s="4">
        <v>11</v>
      </c>
    </row>
    <row r="34" spans="1:11" ht="15" customHeight="1" x14ac:dyDescent="0.35"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x14ac:dyDescent="0.35">
      <c r="A35" s="3" t="s">
        <v>27</v>
      </c>
    </row>
    <row r="37" spans="1:11" x14ac:dyDescent="0.35">
      <c r="A37" s="3" t="s">
        <v>28</v>
      </c>
      <c r="B37" s="19">
        <f>AVERAGE(B4:B33)</f>
        <v>100.1</v>
      </c>
      <c r="C37" s="19"/>
      <c r="D37" s="19">
        <f>AVERAGE(D4:D33)</f>
        <v>99.1</v>
      </c>
      <c r="E37" s="19"/>
      <c r="F37" s="19">
        <f>AVERAGE(F4:F33)</f>
        <v>156</v>
      </c>
      <c r="G37" s="19"/>
      <c r="H37" s="19">
        <f>AVERAGE(H4:H33)</f>
        <v>179.86666666666667</v>
      </c>
      <c r="I37" s="19"/>
      <c r="J37" s="19">
        <f>AVERAGE(J4:J33)</f>
        <v>202.1</v>
      </c>
    </row>
    <row r="38" spans="1:11" x14ac:dyDescent="0.35">
      <c r="A38" s="3" t="s">
        <v>19</v>
      </c>
      <c r="B38" s="22">
        <f>_xlfn.STDEV.S(B4:B33)</f>
        <v>3.0211895350832503</v>
      </c>
      <c r="C38" s="22"/>
      <c r="D38" s="22">
        <f>_xlfn.STDEV.S(D4:D33)</f>
        <v>5.6161712322849313</v>
      </c>
      <c r="E38" s="22"/>
      <c r="F38" s="22">
        <f>_xlfn.STDEV.S(F4:F33)</f>
        <v>4.3151697133684568</v>
      </c>
      <c r="G38" s="22"/>
      <c r="H38" s="22">
        <f>_xlfn.STDEV.S(H4:H33)</f>
        <v>11.640397354674478</v>
      </c>
      <c r="I38" s="22"/>
      <c r="J38" s="22">
        <f>_xlfn.STDEV.S(J4:J33)</f>
        <v>12.466091940775268</v>
      </c>
    </row>
    <row r="39" spans="1:11" x14ac:dyDescent="0.35">
      <c r="A39" s="3" t="s">
        <v>20</v>
      </c>
      <c r="B39" s="22">
        <f>AVERAGE(C4:C33)</f>
        <v>2.5666666666666669</v>
      </c>
      <c r="C39" s="22"/>
      <c r="D39" s="22">
        <f>AVERAGE(E4:E33)</f>
        <v>4.4333333333333336</v>
      </c>
      <c r="E39" s="22"/>
      <c r="F39" s="22">
        <f>AVERAGE(G4:G33)</f>
        <v>7.166666666666667</v>
      </c>
      <c r="G39" s="22"/>
      <c r="H39" s="22">
        <f>AVERAGE(I4:I33)</f>
        <v>9</v>
      </c>
      <c r="I39" s="22"/>
      <c r="J39" s="22">
        <f>AVERAGE(K4:K33)</f>
        <v>11.4</v>
      </c>
    </row>
    <row r="40" spans="1:11" x14ac:dyDescent="0.35">
      <c r="A40" s="3" t="s">
        <v>21</v>
      </c>
      <c r="B40" s="22">
        <f>_xlfn.STDEV.S(C4:C33)</f>
        <v>0.50400693299373112</v>
      </c>
      <c r="C40" s="22"/>
      <c r="D40" s="22">
        <f>_xlfn.STDEV.S(E4:E33)</f>
        <v>0.50400693299373112</v>
      </c>
      <c r="E40" s="22"/>
      <c r="F40" s="22">
        <f>_xlfn.STDEV.S(G4:G33)</f>
        <v>0.79147759387691952</v>
      </c>
      <c r="G40" s="22"/>
      <c r="H40" s="22">
        <f>_xlfn.STDEV.S(I4:I33)</f>
        <v>0.83045479853739967</v>
      </c>
      <c r="I40" s="22"/>
      <c r="J40" s="22">
        <f>_xlfn.STDEV.S(K4:K33)</f>
        <v>1.1325893433586842</v>
      </c>
    </row>
    <row r="46" spans="1:11" x14ac:dyDescent="0.35">
      <c r="A46" s="3" t="s">
        <v>22</v>
      </c>
      <c r="B46" s="22">
        <f>SQRT(B39*(B38^2)+(B37^2)*(B40^2))</f>
        <v>50.682742194181259</v>
      </c>
      <c r="C46" s="22"/>
      <c r="D46" s="22">
        <f t="shared" ref="D46:J46" si="0">SQRT(D39*(D38^2)+(D37^2)*(D40^2))</f>
        <v>51.327818520009117</v>
      </c>
      <c r="E46" s="22"/>
      <c r="F46" s="22">
        <f t="shared" si="0"/>
        <v>124.00973265475379</v>
      </c>
      <c r="G46" s="22"/>
      <c r="H46" s="22">
        <f t="shared" si="0"/>
        <v>153.39891151386911</v>
      </c>
      <c r="I46" s="22"/>
      <c r="J46" s="22">
        <f t="shared" si="0"/>
        <v>232.73400771014877</v>
      </c>
    </row>
    <row r="47" spans="1:11" x14ac:dyDescent="0.35">
      <c r="A47" s="2"/>
      <c r="B47" s="4"/>
      <c r="C47" s="4"/>
      <c r="D47" s="4"/>
      <c r="E47" s="4"/>
      <c r="F47" s="4"/>
      <c r="G47" s="4"/>
      <c r="H47" s="4"/>
      <c r="I47" s="4"/>
      <c r="J47" s="4"/>
    </row>
    <row r="48" spans="1:11" x14ac:dyDescent="0.35">
      <c r="A48" s="3" t="s">
        <v>23</v>
      </c>
      <c r="B48" s="23">
        <v>0.95</v>
      </c>
      <c r="C48" s="4"/>
      <c r="D48" s="23">
        <v>0.96</v>
      </c>
      <c r="E48" s="4"/>
      <c r="F48" s="23">
        <v>0.97</v>
      </c>
      <c r="G48" s="4"/>
      <c r="H48" s="23">
        <v>0.98</v>
      </c>
      <c r="I48" s="4"/>
      <c r="J48" s="23">
        <v>0.99</v>
      </c>
    </row>
    <row r="49" spans="1:10" x14ac:dyDescent="0.35">
      <c r="A49" s="3" t="s">
        <v>24</v>
      </c>
      <c r="B49" s="22">
        <f>_xlfn.NORM.S.INV(B48)</f>
        <v>1.6448536269514715</v>
      </c>
      <c r="C49" s="22"/>
      <c r="D49" s="22">
        <f t="shared" ref="D49:J49" si="1">_xlfn.NORM.S.INV(D48)</f>
        <v>1.7506860712521695</v>
      </c>
      <c r="E49" s="22"/>
      <c r="F49" s="22">
        <f t="shared" si="1"/>
        <v>1.8807936081512504</v>
      </c>
      <c r="G49" s="22"/>
      <c r="H49" s="22">
        <f t="shared" si="1"/>
        <v>2.0537489106318221</v>
      </c>
      <c r="I49" s="22"/>
      <c r="J49" s="22">
        <f t="shared" si="1"/>
        <v>2.3263478740408408</v>
      </c>
    </row>
    <row r="50" spans="1:10" x14ac:dyDescent="0.35">
      <c r="B50" s="4"/>
      <c r="C50" s="4"/>
      <c r="D50" s="4"/>
      <c r="E50" s="4"/>
      <c r="F50" s="4"/>
      <c r="G50" s="4"/>
      <c r="H50" s="4"/>
      <c r="I50" s="4"/>
      <c r="J50" s="4"/>
    </row>
    <row r="51" spans="1:10" x14ac:dyDescent="0.35">
      <c r="B51" s="4"/>
      <c r="C51" s="4"/>
      <c r="D51" s="4"/>
      <c r="E51" s="4"/>
      <c r="F51" s="4"/>
      <c r="G51" s="4"/>
      <c r="H51" s="4"/>
      <c r="I51" s="4"/>
      <c r="J51" s="4"/>
    </row>
    <row r="52" spans="1:10" x14ac:dyDescent="0.35">
      <c r="A52" s="3" t="s">
        <v>25</v>
      </c>
      <c r="B52" s="22">
        <f>B49*B46</f>
        <v>83.365692321945431</v>
      </c>
      <c r="C52" s="22"/>
      <c r="D52" s="22">
        <f t="shared" ref="D52:J52" si="2">D49*D46</f>
        <v>89.858896950739108</v>
      </c>
      <c r="E52" s="22"/>
      <c r="F52" s="22">
        <f t="shared" si="2"/>
        <v>233.23671252560632</v>
      </c>
      <c r="G52" s="22"/>
      <c r="H52" s="22">
        <f t="shared" si="2"/>
        <v>315.04284741371595</v>
      </c>
      <c r="I52" s="22"/>
      <c r="J52" s="22">
        <f t="shared" si="2"/>
        <v>541.42026405350919</v>
      </c>
    </row>
    <row r="53" spans="1:10" x14ac:dyDescent="0.35">
      <c r="B53" s="4"/>
      <c r="C53" s="4"/>
      <c r="D53" s="4"/>
      <c r="E53" s="4"/>
      <c r="F53" s="4"/>
      <c r="G53" s="4"/>
      <c r="H53" s="4"/>
      <c r="I53" s="4"/>
      <c r="J53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2628-B079-47C9-A6A6-FCFC8A716873}">
  <dimension ref="A1:J7"/>
  <sheetViews>
    <sheetView workbookViewId="0">
      <selection activeCell="B10" sqref="B10"/>
    </sheetView>
  </sheetViews>
  <sheetFormatPr defaultRowHeight="14.5" x14ac:dyDescent="0.35"/>
  <cols>
    <col min="1" max="1" width="26.90625" customWidth="1"/>
    <col min="2" max="2" width="10.54296875" customWidth="1"/>
    <col min="3" max="3" width="11.08984375" customWidth="1"/>
    <col min="4" max="4" width="10.453125" customWidth="1"/>
    <col min="5" max="5" width="10.08984375" customWidth="1"/>
    <col min="6" max="6" width="9.7265625" customWidth="1"/>
  </cols>
  <sheetData>
    <row r="1" spans="1:10" ht="20.5" x14ac:dyDescent="0.45">
      <c r="A1" s="18" t="s">
        <v>29</v>
      </c>
      <c r="B1" s="15"/>
      <c r="C1" s="15"/>
      <c r="D1" s="15"/>
      <c r="E1" s="15"/>
      <c r="F1" s="15"/>
    </row>
    <row r="2" spans="1:10" s="2" customFormat="1" x14ac:dyDescent="0.35">
      <c r="A2" s="3"/>
      <c r="B2" s="20" t="s">
        <v>0</v>
      </c>
      <c r="C2" s="21" t="s">
        <v>1</v>
      </c>
      <c r="D2" s="21" t="s">
        <v>2</v>
      </c>
      <c r="E2" s="21" t="s">
        <v>3</v>
      </c>
      <c r="F2" s="21" t="s">
        <v>4</v>
      </c>
      <c r="G2" s="21"/>
      <c r="H2" s="21"/>
      <c r="I2" s="21"/>
      <c r="J2" s="21"/>
    </row>
    <row r="3" spans="1:10" x14ac:dyDescent="0.35">
      <c r="A3" s="4" t="s">
        <v>31</v>
      </c>
      <c r="B3" s="19">
        <f>'Safety Stock'!B37</f>
        <v>100.1</v>
      </c>
      <c r="C3" s="19">
        <f>'Safety Stock'!D37</f>
        <v>99.1</v>
      </c>
      <c r="D3" s="19">
        <f>'Safety Stock'!F37</f>
        <v>156</v>
      </c>
      <c r="E3" s="19">
        <f>'Safety Stock'!H37</f>
        <v>179.86666666666667</v>
      </c>
      <c r="F3" s="19">
        <f>'Safety Stock'!J37</f>
        <v>202.1</v>
      </c>
    </row>
    <row r="4" spans="1:10" x14ac:dyDescent="0.35">
      <c r="A4" s="4" t="s">
        <v>30</v>
      </c>
      <c r="B4" s="22">
        <f>'Safety Stock'!B39</f>
        <v>2.5666666666666669</v>
      </c>
      <c r="C4" s="22">
        <f>'Safety Stock'!D39</f>
        <v>4.4333333333333336</v>
      </c>
      <c r="D4" s="22">
        <f>'Safety Stock'!F39</f>
        <v>7.166666666666667</v>
      </c>
      <c r="E4" s="22">
        <f>'Safety Stock'!H39</f>
        <v>9</v>
      </c>
      <c r="F4" s="22">
        <f>'Safety Stock'!J39</f>
        <v>11.4</v>
      </c>
    </row>
    <row r="5" spans="1:10" x14ac:dyDescent="0.35">
      <c r="A5" s="4" t="s">
        <v>32</v>
      </c>
      <c r="B5" s="4">
        <f>B3*B4</f>
        <v>256.92333333333335</v>
      </c>
      <c r="C5" s="22">
        <f t="shared" ref="C5:F5" si="0">C3*C4</f>
        <v>439.34333333333331</v>
      </c>
      <c r="D5" s="22">
        <f t="shared" si="0"/>
        <v>1118</v>
      </c>
      <c r="E5" s="22">
        <f t="shared" si="0"/>
        <v>1618.8000000000002</v>
      </c>
      <c r="F5" s="4">
        <f t="shared" si="0"/>
        <v>2303.94</v>
      </c>
    </row>
    <row r="6" spans="1:10" x14ac:dyDescent="0.35">
      <c r="A6" s="4" t="s">
        <v>25</v>
      </c>
      <c r="B6" s="22">
        <f>'Safety Stock'!B52</f>
        <v>83.365692321945431</v>
      </c>
      <c r="C6" s="22">
        <f>'Safety Stock'!D52</f>
        <v>89.858896950739108</v>
      </c>
      <c r="D6" s="22">
        <f>'Safety Stock'!F52</f>
        <v>233.23671252560632</v>
      </c>
      <c r="E6" s="22">
        <f>'Safety Stock'!H52</f>
        <v>315.04284741371595</v>
      </c>
      <c r="F6" s="22">
        <f>'Safety Stock'!J52</f>
        <v>541.42026405350919</v>
      </c>
    </row>
    <row r="7" spans="1:10" x14ac:dyDescent="0.35">
      <c r="A7" s="3" t="s">
        <v>33</v>
      </c>
      <c r="B7" s="19">
        <f>ROUNDUP(B5 + B6, 0)</f>
        <v>341</v>
      </c>
      <c r="C7" s="19">
        <f t="shared" ref="C7:F7" si="1">ROUNDUP(C5 + C6, 0)</f>
        <v>530</v>
      </c>
      <c r="D7" s="19">
        <f t="shared" si="1"/>
        <v>1352</v>
      </c>
      <c r="E7" s="19">
        <f t="shared" si="1"/>
        <v>1934</v>
      </c>
      <c r="F7" s="19">
        <f t="shared" si="1"/>
        <v>2846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EOQ Model</vt:lpstr>
      <vt:lpstr>Safety Stock</vt:lpstr>
      <vt:lpstr>Reorder Point (ROP)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Aaron</dc:creator>
  <cp:lastModifiedBy>Michael Aaron</cp:lastModifiedBy>
  <dcterms:created xsi:type="dcterms:W3CDTF">2025-12-18T07:14:57Z</dcterms:created>
  <dcterms:modified xsi:type="dcterms:W3CDTF">2025-12-18T07:36:35Z</dcterms:modified>
</cp:coreProperties>
</file>